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b8007a79d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" sheetId="1" r:id="Rff61264cfc124863"/>
    <x:sheet xmlns:r="http://schemas.openxmlformats.org/officeDocument/2006/relationships" name="Компании" sheetId="2" r:id="Rd4ae2d1f71314fab"/>
    <x:sheet xmlns:r="http://schemas.openxmlformats.org/officeDocument/2006/relationships" name="Вакансии" sheetId="3" r:id="R20c7c4631c144ea1"/>
    <x:sheet xmlns:r="http://schemas.openxmlformats.org/officeDocument/2006/relationships" name="Дополнительно" sheetId="4" r:id="Rbb04fa4462f240ac"/>
    <x:sheet xmlns:r="http://schemas.openxmlformats.org/officeDocument/2006/relationships" name="Поиск" sheetId="5" r:id="Rbd791ccbe3b64b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%"/>
  </x:numFmts>
  <x:fonts count="6">
    <x:font>
      <x:sz val="11"/>
      <x:name val="Carlito"/>
    </x:font>
    <x:font>
      <x:sz val="10"/>
      <x:color rgb="FF15263A"/>
      <x:name val="Arial"/>
    </x:font>
    <x:font>
      <x:b/>
      <x:sz val="10"/>
      <x:color rgb="FFFFFFFF"/>
      <x:name val="Arial"/>
    </x:font>
    <x:font>
      <x:b/>
      <x:sz val="15"/>
      <x:color rgb="FF15263A"/>
      <x:name val="Arial"/>
    </x:font>
    <x:font>
      <x:i/>
      <x:sz val="10"/>
      <x:color rgb="FF54657A"/>
      <x:name val="Arial"/>
    </x:font>
    <x:font>
      <x:b/>
      <x:sz val="10"/>
      <x:color rgb="FF15263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A66"/>
      </x:patternFill>
    </x:fill>
    <x:fill>
      <x:patternFill patternType="solid">
        <x:fgColor rgb="FFF4F7FA"/>
      </x:patternFill>
    </x:fill>
  </x:fills>
  <x:borders count="2">
    <x:border/>
    <x:border>
      <x:bottom style="thin">
        <x:color rgb="FFCCD5D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ill>
        <x:patternFill patternType="solid">
          <x:bgColor rgb="FFE5F0E7"/>
        </x:patternFill>
      </x:fill>
    </x:dxf>
    <x:dxf>
      <x:fill>
        <x:patternFill patternType="solid">
          <x:bgColor rgb="FFE5F0E7"/>
        </x:patternFill>
      </x:fill>
    </x:dxf>
    <x:dxf>
      <x:fill>
        <x:patternFill patternType="solid">
          <x:bgColor rgb="FFE5F0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d357df37d4b8b" /><Relationship Type="http://schemas.openxmlformats.org/officeDocument/2006/relationships/theme" Target="/xl/theme/theme1.xml" Id="R0d038b53c3ae4b36" /><Relationship Type="http://schemas.openxmlformats.org/officeDocument/2006/relationships/sharedStrings" Target="/xl/sharedStrings.xml" Id="R9aa8884451af41b2" /><Relationship Type="http://schemas.openxmlformats.org/officeDocument/2006/relationships/worksheet" Target="/xl/worksheets/sheet1.xml" Id="Rff61264cfc124863" /><Relationship Type="http://schemas.openxmlformats.org/officeDocument/2006/relationships/worksheet" Target="/xl/worksheets/sheet2.xml" Id="Rd4ae2d1f71314fab" /><Relationship Type="http://schemas.openxmlformats.org/officeDocument/2006/relationships/worksheet" Target="/xl/worksheets/sheet3.xml" Id="R20c7c4631c144ea1" /><Relationship Type="http://schemas.openxmlformats.org/officeDocument/2006/relationships/worksheet" Target="/xl/worksheets/sheet4.xml" Id="Rbb04fa4462f240ac" /><Relationship Type="http://schemas.openxmlformats.org/officeDocument/2006/relationships/worksheet" Target="/xl/worksheets/sheet5.xml" Id="Rbd791ccbe3b64b4a" /></Relationships>
</file>

<file path=xl/tables/table1.xml><?xml version="1.0" encoding="utf-8"?>
<x:table xmlns:x="http://schemas.openxmlformats.org/spreadsheetml/2006/main" id="3" name="CompanyCoverage" displayName="CompanyCoverage" ref="A1:M71" headerRowCount="1" totalsRowCount="0" totalsRowShown="0">
  <x:tableColumns count="13">
    <x:tableColumn id="1" name="ID"/>
    <x:tableColumn id="2" name="Группа"/>
    <x:tableColumn id="3" name="Единица выборки"/>
    <x:tableColumn id="4" name="Higgsfield: вакансии"/>
    <x:tableColumn id="5" name="Runway: вакансии"/>
    <x:tableColumn id="6" name="Firefly: вакансии"/>
    <x:tableColumn id="7" name="Любой: вакансии"/>
    <x:tableColumn id="8" name="Результат поиска"/>
    <x:tableColumn id="9" name="Поисковые названия"/>
    <x:tableColumn id="10" name="Категория / владелец"/>
    <x:tableColumn id="11" name="Граница единицы"/>
    <x:tableColumn id="12" name="Правило включения"/>
    <x:tableColumn id="13" name="Покрытие поиска и ограничения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" name="VerifiedVacancies" displayName="VerifiedVacancies" ref="A1:U109" headerRowCount="1" totalsRowCount="0" totalsRowShown="0">
  <x:tableColumns count="21">
    <x:tableColumn id="1" name="ID записи"/>
    <x:tableColumn id="2" name="ID компании"/>
    <x:tableColumn id="3" name="Единица выборки"/>
    <x:tableColumn id="4" name="Группа"/>
    <x:tableColumn id="5" name="Работодатель в объявлении"/>
    <x:tableColumn id="6" name="Вакансия"/>
    <x:tableColumn id="7" name="Место"/>
    <x:tableColumn id="8" name="Дата публикации"/>
    <x:tableColumn id="9" name="Что известно о дате"/>
    <x:tableColumn id="10" name="Статус объявления"/>
    <x:tableColumn id="11" name="Higgsfield"/>
    <x:tableColumn id="12" name="Runway"/>
    <x:tableColumn id="13" name="Adobe Firefly"/>
    <x:tableColumn id="14" name="Тип источника"/>
    <x:tableColumn id="15" name="Короткий фрагмент"/>
    <x:tableColumn id="16" name="Источник"/>
    <x:tableColumn id="17" name="Другие ссылки"/>
    <x:tableColumn id="18" name="Связь с сетью"/>
    <x:tableColumn id="19" name="Примечание"/>
    <x:tableColumn id="20" name="Решение"/>
    <x:tableColumn id="21" name="Номер вакансии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2" name="SupplementalEvidence" displayName="SupplementalEvidence" ref="A1:U28" headerRowCount="1" totalsRowCount="0" totalsRowShown="0">
  <x:tableColumns count="21">
    <x:tableColumn id="1" name="ID записи"/>
    <x:tableColumn id="2" name="ID компании"/>
    <x:tableColumn id="3" name="Единица выборки"/>
    <x:tableColumn id="4" name="Группа"/>
    <x:tableColumn id="5" name="Работодатель в объявлении"/>
    <x:tableColumn id="6" name="Вакансия"/>
    <x:tableColumn id="7" name="Место"/>
    <x:tableColumn id="8" name="Дата публикации"/>
    <x:tableColumn id="9" name="Что известно о дате"/>
    <x:tableColumn id="10" name="Статус объявления"/>
    <x:tableColumn id="11" name="Higgsfield"/>
    <x:tableColumn id="12" name="Runway"/>
    <x:tableColumn id="13" name="Adobe Firefly"/>
    <x:tableColumn id="14" name="Тип источника"/>
    <x:tableColumn id="15" name="Короткий фрагмент"/>
    <x:tableColumn id="16" name="Источник"/>
    <x:tableColumn id="17" name="Другие ссылки"/>
    <x:tableColumn id="18" name="Связь с сетью"/>
    <x:tableColumn id="19" name="Примечание"/>
    <x:tableColumn id="20" name="Решение"/>
    <x:tableColumn id="21" name="Номер вакансии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SearchCoverage" displayName="SearchCoverage" ref="A1:I211" headerRowCount="1" totalsRowCount="0" totalsRowShown="0">
  <x:tableColumns count="9">
    <x:tableColumn id="1" name="ID"/>
    <x:tableColumn id="2" name="Компания"/>
    <x:tableColumn id="3" name="Инструмент"/>
    <x:tableColumn id="4" name="Результат"/>
    <x:tableColumn id="5" name="Запросы"/>
    <x:tableColumn id="6" name="Проверенные источники / маршруты"/>
    <x:tableColumn id="7" name="Ограничения"/>
    <x:tableColumn id="8" name="Выполненные проходы"/>
    <x:tableColumn id="9" name="Дата проверки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500da1efda41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8a2d87d30540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34a82c78304d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3d18151a004f10" /></Relationships>
</file>

<file path=xl/worksheets/sheet1.xml><?xml version="1.0" encoding="utf-8"?>
<x:worksheet xmlns:x="http://schemas.openxmlformats.org/spreadsheetml/2006/main">
  <x:sheetPr>
    <x:tabColor rgb="FF15263A"/>
  </x:sheetPr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18" hidden="0" customWidth="1"/>
    <x:col min="4" max="4" width="18" hidden="0" customWidth="1"/>
    <x:col min="5" max="5" width="20" hidden="0" customWidth="1"/>
    <x:col min="6" max="6" width="22" hidden="0" customWidth="1"/>
    <x:col min="7" max="7" width="24" hidden="0" customWidth="1"/>
    <x:col min="8" max="8" width="2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10" t="str">
        <x:v>AI-инструменты в творческих вакансиях</x:v>
      </x:c>
      <x:c r="B2" s="2"/>
      <x:c r="C2" s="2"/>
      <x:c r="D2" s="2"/>
      <x:c r="E2" s="2"/>
      <x:c r="F2" s="2"/>
      <x:c r="G2" s="2"/>
      <x:c r="H2" s="2"/>
    </x:row>
    <x:row r="3" ht="22" customHeight="1">
      <x:c r="A3" s="11" t="str">
        <x:v>Срез на 6 октября 2026. Фиксированная выборка: 50 производителей и 20 агентских единиц</x:v>
      </x:c>
      <x:c r="B3" s="2"/>
      <x:c r="C3" s="2"/>
      <x:c r="D3" s="2"/>
      <x:c r="E3" s="2"/>
      <x:c r="F3" s="2"/>
      <x:c r="G3" s="2"/>
      <x:c r="H3" s="2"/>
    </x:row>
    <x:row r="4" ht="22" customHeight="1">
      <x:c r="A4" s="12"/>
      <x:c r="B4" s="12"/>
      <x:c r="C4" s="12"/>
      <x:c r="D4" s="12"/>
      <x:c r="E4" s="12"/>
      <x:c r="F4" s="12"/>
      <x:c r="G4" s="12"/>
      <x:c r="H4" s="1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36" customHeight="1">
      <x:c r="A6" s="6" t="str">
        <x:v>Группа</x:v>
      </x:c>
      <x:c r="B6" s="6" t="str">
        <x:v>Инструмент</x:v>
      </x:c>
      <x:c r="C6" s="6" t="str">
        <x:v>Компаний в выборке</x:v>
      </x:c>
      <x:c r="D6" s="6" t="str">
        <x:v>С упоминанием</x:v>
      </x:c>
      <x:c r="E6" s="6" t="str">
        <x:v>Покрытие выборки</x:v>
      </x:c>
      <x:c r="F6" s="6" t="str">
        <x:v>Уникальных вакансий</x:v>
      </x:c>
      <x:c r="G6" s="6" t="str">
        <x:v>Любой из 3: вакансии</x:v>
      </x:c>
      <x:c r="H6" s="6" t="str">
        <x:v>Доля в найденных вакансиях</x:v>
      </x:c>
    </x:row>
    <x:row r="7" ht="30" customHeight="1">
      <x:c r="A7" s="2" t="str">
        <x:v>CPG/FMCG/beauty</x:v>
      </x:c>
      <x:c r="B7" s="2" t="str">
        <x:v>Higgsfield</x:v>
      </x:c>
      <x:c r="C7" s="8" t="n">
        <x:v>50</x:v>
      </x:c>
      <x:c r="D7" s="8" t="n">
        <x:f>COUNTIFS('Компании'!$B$2:$B$71,A7,'Компании'!$D$2:$D$71,"&gt;0")</x:f>
        <x:v>1</x:v>
      </x:c>
      <x:c r="E7" s="13" t="n">
        <x:f>D7/C7</x:f>
        <x:v>0.02</x:v>
      </x:c>
      <x:c r="F7" s="8" t="n">
        <x:f>SUMIFS('Компании'!$D$2:$D$71,'Компании'!$B$2:$B$71,A7)</x:f>
        <x:v>1</x:v>
      </x:c>
      <x:c r="G7" s="8" t="n">
        <x:f>SUMIFS('Компании'!$G$2:$G$71,'Компании'!$B$2:$B$71,A7)</x:f>
        <x:v>35</x:v>
      </x:c>
      <x:c r="H7" s="13" t="n">
        <x:f>IF(G7=0,"н.д.",F7/G7)</x:f>
        <x:v>0.02857142857142857</x:v>
      </x:c>
    </x:row>
    <x:row r="8" ht="30" customHeight="1">
      <x:c r="A8" s="2" t="str">
        <x:v>CPG/FMCG/beauty</x:v>
      </x:c>
      <x:c r="B8" s="2" t="str">
        <x:v>Runway</x:v>
      </x:c>
      <x:c r="C8" s="8" t="n">
        <x:v>50</x:v>
      </x:c>
      <x:c r="D8" s="8" t="n">
        <x:f>COUNTIFS('Компании'!$B$2:$B$71,A8,'Компании'!$E$2:$E$71,"&gt;0")</x:f>
        <x:v>8</x:v>
      </x:c>
      <x:c r="E8" s="13" t="n">
        <x:f>D8/C8</x:f>
        <x:v>0.16</x:v>
      </x:c>
      <x:c r="F8" s="8" t="n">
        <x:f>SUMIFS('Компании'!$E$2:$E$71,'Компании'!$B$2:$B$71,A8)</x:f>
        <x:v>9</x:v>
      </x:c>
      <x:c r="G8" s="8" t="n">
        <x:f>SUMIFS('Компании'!$G$2:$G$71,'Компании'!$B$2:$B$71,A8)</x:f>
        <x:v>35</x:v>
      </x:c>
      <x:c r="H8" s="13" t="n">
        <x:f>IF(G8=0,"н.д.",F8/G8)</x:f>
        <x:v>0.2571428571428571</x:v>
      </x:c>
    </x:row>
    <x:row r="9" ht="30" customHeight="1">
      <x:c r="A9" s="2" t="str">
        <x:v>CPG/FMCG/beauty</x:v>
      </x:c>
      <x:c r="B9" s="2" t="str">
        <x:v>Adobe Firefly</x:v>
      </x:c>
      <x:c r="C9" s="8" t="n">
        <x:v>50</x:v>
      </x:c>
      <x:c r="D9" s="8" t="n">
        <x:f>COUNTIFS('Компании'!$B$2:$B$71,A9,'Компании'!$F$2:$F$71,"&gt;0")</x:f>
        <x:v>14</x:v>
      </x:c>
      <x:c r="E9" s="13" t="n">
        <x:f>D9/C9</x:f>
        <x:v>0.28</x:v>
      </x:c>
      <x:c r="F9" s="8" t="n">
        <x:f>SUMIFS('Компании'!$F$2:$F$71,'Компании'!$B$2:$B$71,A9)</x:f>
        <x:v>31</x:v>
      </x:c>
      <x:c r="G9" s="8" t="n">
        <x:f>SUMIFS('Компании'!$G$2:$G$71,'Компании'!$B$2:$B$71,A9)</x:f>
        <x:v>35</x:v>
      </x:c>
      <x:c r="H9" s="13" t="n">
        <x:f>IF(G9=0,"н.д.",F9/G9)</x:f>
        <x:v>0.8857142857142857</x:v>
      </x:c>
    </x:row>
    <x:row r="10" ht="30" customHeight="1">
      <x:c r="A10" s="2" t="str">
        <x:v>Агентства</x:v>
      </x:c>
      <x:c r="B10" s="2" t="str">
        <x:v>Higgsfield</x:v>
      </x:c>
      <x:c r="C10" s="8" t="n">
        <x:v>20</x:v>
      </x:c>
      <x:c r="D10" s="8" t="n">
        <x:f>COUNTIFS('Компании'!$B$2:$B$71,A10,'Компании'!$D$2:$D$71,"&gt;0")</x:f>
        <x:v>8</x:v>
      </x:c>
      <x:c r="E10" s="13" t="n">
        <x:f>D10/C10</x:f>
        <x:v>0.4</x:v>
      </x:c>
      <x:c r="F10" s="8" t="n">
        <x:f>SUMIFS('Компании'!$D$2:$D$71,'Компании'!$B$2:$B$71,A10)</x:f>
        <x:v>8</x:v>
      </x:c>
      <x:c r="G10" s="8" t="n">
        <x:f>SUMIFS('Компании'!$G$2:$G$71,'Компании'!$B$2:$B$71,A10)</x:f>
        <x:v>73</x:v>
      </x:c>
      <x:c r="H10" s="13" t="n">
        <x:f>IF(G10=0,"н.д.",F10/G10)</x:f>
        <x:v>0.1095890410958904</x:v>
      </x:c>
    </x:row>
    <x:row r="11" ht="30" customHeight="1">
      <x:c r="A11" s="14" t="str">
        <x:v>Агентства</x:v>
      </x:c>
      <x:c r="B11" s="14" t="str">
        <x:v>Runway</x:v>
      </x:c>
      <x:c r="C11" s="15" t="n">
        <x:v>20</x:v>
      </x:c>
      <x:c r="D11" s="15" t="n">
        <x:f>COUNTIFS('Компании'!$B$2:$B$71,A11,'Компании'!$E$2:$E$71,"&gt;0")</x:f>
        <x:v>16</x:v>
      </x:c>
      <x:c r="E11" s="16" t="n">
        <x:f>D11/C11</x:f>
        <x:v>0.8</x:v>
      </x:c>
      <x:c r="F11" s="15" t="n">
        <x:f>SUMIFS('Компании'!$E$2:$E$71,'Компании'!$B$2:$B$71,A11)</x:f>
        <x:v>49</x:v>
      </x:c>
      <x:c r="G11" s="15" t="n">
        <x:f>SUMIFS('Компании'!$G$2:$G$71,'Компании'!$B$2:$B$71,A11)</x:f>
        <x:v>73</x:v>
      </x:c>
      <x:c r="H11" s="16" t="n">
        <x:f>IF(G11=0,"н.д.",F11/G11)</x:f>
        <x:v>0.6712328767123288</x:v>
      </x:c>
    </x:row>
    <x:row r="12" ht="30" customHeight="1">
      <x:c r="A12" s="14" t="str">
        <x:v>Агентства</x:v>
      </x:c>
      <x:c r="B12" s="14" t="str">
        <x:v>Adobe Firefly</x:v>
      </x:c>
      <x:c r="C12" s="15" t="n">
        <x:v>20</x:v>
      </x:c>
      <x:c r="D12" s="15" t="n">
        <x:f>COUNTIFS('Компании'!$B$2:$B$71,A12,'Компании'!$F$2:$F$71,"&gt;0")</x:f>
        <x:v>15</x:v>
      </x:c>
      <x:c r="E12" s="16" t="n">
        <x:f>D12/C12</x:f>
        <x:v>0.75</x:v>
      </x:c>
      <x:c r="F12" s="15" t="n">
        <x:f>SUMIFS('Компании'!$F$2:$F$71,'Компании'!$B$2:$B$71,A12)</x:f>
        <x:v>46</x:v>
      </x:c>
      <x:c r="G12" s="15" t="n">
        <x:f>SUMIFS('Компании'!$G$2:$G$71,'Компании'!$B$2:$B$71,A12)</x:f>
        <x:v>73</x:v>
      </x:c>
      <x:c r="H12" s="16" t="n">
        <x:f>IF(G12=0,"н.д.",F12/G12)</x:f>
        <x:v>0.6301369863013698</x:v>
      </x:c>
    </x:row>
    <x:row r="13" ht="22" customHeight="1">
      <x:c r="A13" s="2"/>
      <x:c r="B13" s="2"/>
      <x:c r="C13" s="2"/>
      <x:c r="D13" s="2"/>
      <x:c r="E13" s="2"/>
      <x:c r="F13" s="2"/>
      <x:c r="G13" s="2"/>
      <x:c r="H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</x:row>
    <x:row r="15" ht="22" customHeight="1">
      <x:c r="A15" s="17" t="str">
        <x:v>Как читать результат</x:v>
      </x:c>
      <x:c r="B15" s="2"/>
      <x:c r="C15" s="2"/>
      <x:c r="D15" s="2"/>
      <x:c r="E15" s="2"/>
      <x:c r="F15" s="2"/>
      <x:c r="G15" s="2"/>
      <x:c r="H15" s="2"/>
    </x:row>
    <x:row r="16" ht="23" customHeight="1">
      <x:c r="A16" s="2" t="str">
        <x:v>Вакансии могут упоминать несколько инструментов. Столбцы по инструментам пересекаются; «любой из 3» считает каждую вакансию один раз.</x:v>
      </x:c>
      <x:c r="B16" s="2"/>
      <x:c r="C16" s="2"/>
      <x:c r="D16" s="2"/>
      <x:c r="E16" s="2"/>
      <x:c r="F16" s="2"/>
      <x:c r="G16" s="2"/>
      <x:c r="H16" s="2"/>
    </x:row>
    <x:row r="17" ht="23" customHeight="1">
      <x:c r="A17" s="2" t="str">
        <x:v>Покрытие выборки = число компаний с найденным проверенным упоминанием / 50 или 20. Это не доля пользователей и не рыночная доля.</x:v>
      </x:c>
      <x:c r="B17" s="2"/>
      <x:c r="C17" s="2"/>
      <x:c r="D17" s="2"/>
      <x:c r="E17" s="2"/>
      <x:c r="F17" s="2"/>
      <x:c r="G17" s="2"/>
      <x:c r="H17" s="2"/>
    </x:row>
    <x:row r="18" ht="23" customHeight="1">
      <x:c r="A18" s="2" t="str">
        <x:v>Доля в найденных вакансиях = вакансии с инструментом / вакансии с любым из трёх. Полный знаменатель всех творческих вакансий не собран.</x:v>
      </x:c>
      <x:c r="B18" s="2"/>
      <x:c r="C18" s="2"/>
      <x:c r="D18" s="2"/>
      <x:c r="E18" s="2"/>
      <x:c r="F18" s="2"/>
      <x:c r="G18" s="2"/>
      <x:c r="H18" s="2"/>
    </x:row>
    <x:row r="19" ht="23" customHeight="1">
      <x:c r="A19" s="2" t="str">
        <x:v>Выборка производителей составлена вручную и не является формальным мировым топ-50 по выручке. Агентства включают исторические бренды FCB и DDB.</x:v>
      </x:c>
      <x:c r="B19" s="2"/>
      <x:c r="C19" s="2"/>
      <x:c r="D19" s="2"/>
      <x:c r="E19" s="2"/>
      <x:c r="F19" s="2"/>
      <x:c r="G19" s="2"/>
      <x:c r="H19" s="2"/>
    </x:row>
    <x:row r="20" ht="23" customHeight="1">
      <x:c r="A20" s="2" t="str">
        <x:v>Поиск включает доступные текущие и закрытые объявления до даты среза, без нижней временной границы. Исторический архив неполон.</x:v>
      </x:c>
      <x:c r="B20" s="2"/>
      <x:c r="C20" s="2"/>
      <x:c r="D20" s="2"/>
      <x:c r="E20" s="2"/>
      <x:c r="F20" s="2"/>
      <x:c r="G20" s="2"/>
      <x:c r="H20" s="2"/>
    </x:row>
    <x:row r="21" ht="23" customHeight="1">
      <x:c r="A21" s="2" t="str">
        <x:v>«Не найдено» означает отсутствие проверенного упоминания в проведённом поиске. Это не доказательство отсутствия использования инструмента.</x:v>
      </x:c>
      <x:c r="B21" s="2"/>
      <x:c r="C21" s="2"/>
      <x:c r="D21" s="2"/>
      <x:c r="E21" s="2"/>
      <x:c r="F21" s="2"/>
      <x:c r="G21" s="2"/>
      <x:c r="H21" s="2"/>
    </x:row>
    <x:row r="22" ht="23" customHeight="1">
      <x:c r="A22" s="2" t="str">
        <x:v>Объявления агентств о работе для бренда отнесены к работодателю-агентству. Алиасы, зеркала и одинаковые requisition ID не создают новые вакансии.</x:v>
      </x:c>
      <x:c r="B22" s="2"/>
      <x:c r="C22" s="2"/>
      <x:c r="D22" s="2"/>
      <x:c r="E22" s="2"/>
      <x:c r="F22" s="2"/>
      <x:c r="G22" s="2"/>
      <x:c r="H22" s="2"/>
    </x:row>
    <x:row r="23" ht="23" customHeight="1">
      <x:c r="A23" s="2" t="str">
        <x:v>Слабые источники, неподтверждённая принадлежность сети и talent pool сохранены отдельно. Они не включены в основные числа.</x:v>
      </x:c>
      <x:c r="B23" s="2"/>
      <x:c r="C23" s="2"/>
      <x:c r="D23" s="2"/>
      <x:c r="E23" s="2"/>
      <x:c r="F23" s="2"/>
      <x:c r="G23" s="2"/>
      <x:c r="H23" s="2"/>
    </x:row>
    <x:row r="24" ht="23" customHeight="1">
      <x:c r="A24" s="2" t="str">
        <x:v>Чувствительность к пяти слабым копиям: CPG 37 вакансий / Firefly 33; агентства 76 вакансий / Runway 50 / Firefly 48. Остальные числа вакансий не меняются.</x:v>
      </x:c>
      <x:c r="B24" s="2"/>
      <x:c r="C24" s="2"/>
      <x:c r="D24" s="2"/>
      <x:c r="E24" s="2"/>
      <x:c r="F24" s="2"/>
      <x:c r="G24" s="2"/>
      <x:c r="H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</x:row>
    <x:row r="26" ht="22" customHeight="1">
      <x:c r="A26" s="17" t="str">
        <x:v>Даты публикации</x:v>
      </x:c>
      <x:c r="B26" s="2"/>
      <x:c r="C26" s="2"/>
      <x:c r="D26" s="2"/>
      <x:c r="E26" s="2"/>
      <x:c r="F26" s="2"/>
      <x:c r="G26" s="2"/>
      <x:c r="H26" s="2"/>
    </x:row>
    <x:row r="27" ht="36" customHeight="1">
      <x:c r="A27" s="6" t="str">
        <x:v>Год, если подтверждён</x:v>
      </x:c>
      <x:c r="B27" s="6" t="str">
        <x:v>Вакансий</x:v>
      </x:c>
      <x:c r="C27" s="2"/>
      <x:c r="D27" s="2"/>
      <x:c r="E27" s="2"/>
      <x:c r="F27" s="2"/>
      <x:c r="G27" s="2"/>
      <x:c r="H27" s="2"/>
    </x:row>
    <x:row r="28" ht="22" customHeight="1">
      <x:c r="A28" s="2" t="n">
        <x:v>2025</x:v>
      </x:c>
      <x:c r="B28" s="2" t="n">
        <x:v>4</x:v>
      </x:c>
      <x:c r="C28" s="2"/>
      <x:c r="D28" s="2"/>
      <x:c r="E28" s="2"/>
      <x:c r="F28" s="2"/>
      <x:c r="G28" s="2"/>
      <x:c r="H28" s="2"/>
    </x:row>
    <x:row r="29" ht="22" customHeight="1">
      <x:c r="A29" s="2" t="n">
        <x:v>2026</x:v>
      </x:c>
      <x:c r="B29" s="2" t="n">
        <x:v>37</x:v>
      </x:c>
      <x:c r="C29" s="2"/>
      <x:c r="D29" s="2"/>
      <x:c r="E29" s="2"/>
      <x:c r="F29" s="2"/>
      <x:c r="G29" s="2"/>
      <x:c r="H29" s="2"/>
    </x:row>
    <x:row r="30" ht="22" customHeight="1">
      <x:c r="A30" s="2" t="str">
        <x:v>Дата не установлена</x:v>
      </x:c>
      <x:c r="B30" s="2" t="n">
        <x:v>67</x:v>
      </x:c>
      <x:c r="C30" s="2"/>
      <x:c r="D30" s="2"/>
      <x:c r="E30" s="2"/>
      <x:c r="F30" s="2"/>
      <x:c r="G30" s="2"/>
      <x:c r="H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</x:row>
    <x:row r="32" ht="22" customHeight="1">
      <x:c r="A32" s="2" t="str">
        <x:v>Даты обхода, индексации и относительный возраст страницы не считаются датами публикации. По архиву нельзя оценивать темп внедрения.</x:v>
      </x:c>
      <x:c r="B32" s="2"/>
      <x:c r="C32" s="2"/>
      <x:c r="D32" s="2"/>
      <x:c r="E32" s="2"/>
      <x:c r="F32" s="2"/>
      <x:c r="G32" s="2"/>
      <x:c r="H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</x:row>
    <x:row r="36" ht="22" customHeight="1">
      <x:c r="A36" s="17" t="str">
        <x:v>Состав корпуса</x:v>
      </x:c>
      <x:c r="B36" s="2"/>
      <x:c r="C36" s="2"/>
      <x:c r="D36" s="2"/>
      <x:c r="E36" s="2"/>
      <x:c r="F36" s="2"/>
      <x:c r="G36" s="2"/>
      <x:c r="H36" s="2"/>
    </x:row>
    <x:row r="37" ht="22" customHeight="1">
      <x:c r="A37" s="2" t="str">
        <x:v>Проверенных уникальных вакансий</x:v>
      </x:c>
      <x:c r="B37" s="2" t="n">
        <x:v>108</x:v>
      </x:c>
      <x:c r="C37" s="2"/>
      <x:c r="D37" s="2"/>
      <x:c r="E37" s="2"/>
      <x:c r="F37" s="2"/>
      <x:c r="G37" s="2"/>
      <x:c r="H37" s="2"/>
    </x:row>
    <x:row r="38" ht="22" customHeight="1">
      <x:c r="A38" s="2" t="str">
        <x:v>Дополнительных записей</x:v>
      </x:c>
      <x:c r="B38" s="2" t="n">
        <x:v>27</x:v>
      </x:c>
      <x:c r="C38" s="2"/>
      <x:c r="D38" s="2"/>
      <x:c r="E38" s="2"/>
      <x:c r="F38" s="2"/>
      <x:c r="G38" s="2"/>
      <x:c r="H38" s="2"/>
    </x:row>
    <x:row r="39" ht="22" customHeight="1">
      <x:c r="A39" s="2" t="str">
        <x:v>Установленная дата публикации</x:v>
      </x:c>
      <x:c r="B39" s="2" t="n">
        <x:v>41</x:v>
      </x:c>
      <x:c r="C39" s="2"/>
      <x:c r="D39" s="2"/>
      <x:c r="E39" s="2"/>
      <x:c r="F39" s="2"/>
      <x:c r="G39" s="2"/>
      <x:c r="H39" s="2"/>
    </x:row>
    <x:row r="40" ht="22" customHeight="1">
      <x:c r="A40" s="2" t="str">
        <x:v>Отдельных единиц выборки</x:v>
      </x:c>
      <x:c r="B40" s="2" t="n">
        <x:v>70</x:v>
      </x:c>
      <x:c r="C40" s="2"/>
      <x:c r="D40" s="2"/>
      <x:c r="E40" s="2"/>
      <x:c r="F40" s="2"/>
      <x:c r="G40" s="2"/>
      <x:c r="H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34A66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37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6" hidden="0" customWidth="1"/>
    <x:col min="9" max="9" width="60" hidden="0" customWidth="1"/>
    <x:col min="10" max="10" width="36" hidden="0" customWidth="1"/>
    <x:col min="11" max="11" width="50" hidden="0" customWidth="1"/>
    <x:col min="12" max="12" width="85" hidden="0" customWidth="1"/>
    <x:col min="13" max="13" width="80" hidden="0" customWidth="1"/>
  </x:cols>
  <x:sheetData>
    <x:row r="1" ht="36" customHeight="1">
      <x:c r="A1" s="6" t="str">
        <x:v>ID</x:v>
      </x:c>
      <x:c r="B1" s="6" t="str">
        <x:v>Группа</x:v>
      </x:c>
      <x:c r="C1" s="6" t="str">
        <x:v>Единица выборки</x:v>
      </x:c>
      <x:c r="D1" s="6" t="str">
        <x:v>Higgsfield: вакансии</x:v>
      </x:c>
      <x:c r="E1" s="6" t="str">
        <x:v>Runway: вакансии</x:v>
      </x:c>
      <x:c r="F1" s="6" t="str">
        <x:v>Firefly: вакансии</x:v>
      </x:c>
      <x:c r="G1" s="6" t="str">
        <x:v>Любой: вакансии</x:v>
      </x:c>
      <x:c r="H1" s="6" t="str">
        <x:v>Результат поиска</x:v>
      </x:c>
      <x:c r="I1" s="6" t="str">
        <x:v>Поисковые названия</x:v>
      </x:c>
      <x:c r="J1" s="6" t="str">
        <x:v>Категория / владелец</x:v>
      </x:c>
      <x:c r="K1" s="6" t="str">
        <x:v>Граница единицы</x:v>
      </x:c>
      <x:c r="L1" s="6" t="str">
        <x:v>Правило включения</x:v>
      </x:c>
      <x:c r="M1" s="6" t="str">
        <x:v>Покрытие поиска и ограничения</x:v>
      </x:c>
    </x:row>
    <x:row r="2" ht="64" customHeight="1">
      <x:c r="A2" s="2" t="str">
        <x:v>C01</x:v>
      </x:c>
      <x:c r="B2" s="2" t="str">
        <x:v>CPG/FMCG/beauty</x:v>
      </x:c>
      <x:c r="C2" s="9" t="str">
        <x:v>Nestlé</x:v>
      </x:c>
      <x:c r="D2" s="8" t="n">
        <x:f>SUMIFS('Вакансии'!$K$2:$K$109,'Вакансии'!$B$2:$B$109,$A2)</x:f>
        <x:v>0</x:v>
      </x:c>
      <x:c r="E2" s="8" t="n">
        <x:f>SUMIFS('Вакансии'!$L$2:$L$109,'Вакансии'!$B$2:$B$109,$A2)</x:f>
        <x:v>0</x:v>
      </x:c>
      <x:c r="F2" s="8" t="n">
        <x:f>SUMIFS('Вакансии'!$M$2:$M$109,'Вакансии'!$B$2:$B$109,$A2)</x:f>
        <x:v>2</x:v>
      </x:c>
      <x:c r="G2" s="8" t="n">
        <x:f>COUNTIFS('Вакансии'!$B$2:$B$109,$A2)</x:f>
        <x:v>2</x:v>
      </x:c>
      <x:c r="H2" s="9" t="str">
        <x:v>Найдены проверенные упоминания</x:v>
      </x:c>
      <x:c r="I2" s="9" t="str">
        <x:v>Nestle|Nestlé SA</x:v>
      </x:c>
      <x:c r="J2" s="9" t="str">
        <x:v>Food/beverages/petcare</x:v>
      </x:c>
      <x:c r="K2" s="9" t="str">
        <x:v>Employer group; time-sensitive subsidiary attribution</x:v>
      </x:c>
      <x:c r="L2" s="9" t="str">
        <x:v>Parent employer and verified operating subsidiaries; do not include independent bottlers</x:v>
      </x:c>
      <x:c r="M2" s="9" t="str">
        <x:v>Higgsfield: Проверенных упоминаний в основном корпусе не найдено; Runway: Проверенных упоминаний в основном корпусе не найдено; Firefly: 2 вакансий в основном корпусе; 1 вне основного корпуса</x:v>
      </x:c>
    </x:row>
    <x:row r="3" ht="64" customHeight="1">
      <x:c r="A3" s="2" t="str">
        <x:v>C02</x:v>
      </x:c>
      <x:c r="B3" s="2" t="str">
        <x:v>CPG/FMCG/beauty</x:v>
      </x:c>
      <x:c r="C3" s="9" t="str">
        <x:v>Procter &amp; Gamble</x:v>
      </x:c>
      <x:c r="D3" s="8" t="n">
        <x:f>SUMIFS('Вакансии'!$K$2:$K$109,'Вакансии'!$B$2:$B$109,$A3)</x:f>
        <x:v>0</x:v>
      </x:c>
      <x:c r="E3" s="8" t="n">
        <x:f>SUMIFS('Вакансии'!$L$2:$L$109,'Вакансии'!$B$2:$B$109,$A3)</x:f>
        <x:v>1</x:v>
      </x:c>
      <x:c r="F3" s="8" t="n">
        <x:f>SUMIFS('Вакансии'!$M$2:$M$109,'Вакансии'!$B$2:$B$109,$A3)</x:f>
        <x:v>8</x:v>
      </x:c>
      <x:c r="G3" s="8" t="n">
        <x:f>COUNTIFS('Вакансии'!$B$2:$B$109,$A3)</x:f>
        <x:v>8</x:v>
      </x:c>
      <x:c r="H3" s="9" t="str">
        <x:v>Найдены проверенные упоминания</x:v>
      </x:c>
      <x:c r="I3" s="9" t="str">
        <x:v>P&amp;G|Procter and Gamble</x:v>
      </x:c>
      <x:c r="J3" s="9" t="str">
        <x:v>Household/personal care</x:v>
      </x:c>
      <x:c r="K3" s="9" t="str">
        <x:v>Employer group; time-sensitive subsidiary attribution</x:v>
      </x:c>
      <x:c r="L3" s="9" t="str">
        <x:v>Parent employer and verified operating subsidiaries</x:v>
      </x:c>
      <x:c r="M3" s="9" t="str">
        <x:v>Higgsfield: Проверенных упоминаний в основном корпусе не найдено; Runway: 1 вакансий в основном корпусе; Firefly: 8 вакансий в основном корпусе</x:v>
      </x:c>
    </x:row>
    <x:row r="4" ht="64" customHeight="1">
      <x:c r="A4" s="2" t="str">
        <x:v>C03</x:v>
      </x:c>
      <x:c r="B4" s="2" t="str">
        <x:v>CPG/FMCG/beauty</x:v>
      </x:c>
      <x:c r="C4" s="9" t="str">
        <x:v>Unilever</x:v>
      </x:c>
      <x:c r="D4" s="8" t="n">
        <x:f>SUMIFS('Вакансии'!$K$2:$K$109,'Вакансии'!$B$2:$B$109,$A4)</x:f>
        <x:v>0</x:v>
      </x:c>
      <x:c r="E4" s="8" t="n">
        <x:f>SUMIFS('Вакансии'!$L$2:$L$109,'Вакансии'!$B$2:$B$109,$A4)</x:f>
        <x:v>1</x:v>
      </x:c>
      <x:c r="F4" s="8" t="n">
        <x:f>SUMIFS('Вакансии'!$M$2:$M$109,'Вакансии'!$B$2:$B$109,$A4)</x:f>
        <x:v>2</x:v>
      </x:c>
      <x:c r="G4" s="8" t="n">
        <x:f>COUNTIFS('Вакансии'!$B$2:$B$109,$A4)</x:f>
        <x:v>2</x:v>
      </x:c>
      <x:c r="H4" s="9" t="str">
        <x:v>Найдены проверенные упоминания</x:v>
      </x:c>
      <x:c r="I4" s="9" t="str">
        <x:v>Unilever PLC|Unilever N.V.</x:v>
      </x:c>
      <x:c r="J4" s="9" t="str">
        <x:v>Food/household/personal care</x:v>
      </x:c>
      <x:c r="K4" s="9" t="str">
        <x:v>Employer group; time-sensitive subsidiary attribution</x:v>
      </x:c>
      <x:c r="L4" s="9" t="str">
        <x:v>Use ownership/employer at posting; divested businesses not automatically current subsidiaries</x:v>
      </x:c>
      <x:c r="M4" s="9" t="str">
        <x:v>Higgsfield: Проверенных упоминаний в основном корпусе не найдено; Runway: 1 вакансий в основном корпусе; Firefly: 2 вакансий в основном корпусе</x:v>
      </x:c>
    </x:row>
    <x:row r="5" ht="64" customHeight="1">
      <x:c r="A5" s="2" t="str">
        <x:v>C04</x:v>
      </x:c>
      <x:c r="B5" s="2" t="str">
        <x:v>CPG/FMCG/beauty</x:v>
      </x:c>
      <x:c r="C5" s="9" t="str">
        <x:v>PepsiCo</x:v>
      </x:c>
      <x:c r="D5" s="8" t="n">
        <x:f>SUMIFS('Вакансии'!$K$2:$K$109,'Вакансии'!$B$2:$B$109,$A5)</x:f>
        <x:v>0</x:v>
      </x:c>
      <x:c r="E5" s="8" t="n">
        <x:f>SUMIFS('Вакансии'!$L$2:$L$109,'Вакансии'!$B$2:$B$109,$A5)</x:f>
        <x:v>0</x:v>
      </x:c>
      <x:c r="F5" s="8" t="n">
        <x:f>SUMIFS('Вакансии'!$M$2:$M$109,'Вакансии'!$B$2:$B$109,$A5)</x:f>
        <x:v>5</x:v>
      </x:c>
      <x:c r="G5" s="8" t="n">
        <x:f>COUNTIFS('Вакансии'!$B$2:$B$109,$A5)</x:f>
        <x:v>5</x:v>
      </x:c>
      <x:c r="H5" s="9" t="str">
        <x:v>Найдены проверенные упоминания</x:v>
      </x:c>
      <x:c r="I5" s="9" t="str">
        <x:v>PepsiCo Inc|Pepsi-Cola|Frito-Lay</x:v>
      </x:c>
      <x:c r="J5" s="9" t="str">
        <x:v>Food/beverages</x:v>
      </x:c>
      <x:c r="K5" s="9" t="str">
        <x:v>Employer group; time-sensitive subsidiary attribution</x:v>
      </x:c>
      <x:c r="L5" s="9" t="str">
        <x:v>Do not include independent bottlers merely for carrying Pepsi brands</x:v>
      </x:c>
      <x:c r="M5" s="9" t="str">
        <x:v>Higgsfield: Проверенных упоминаний в основном корпусе не найдено; Runway: Проверенных упоминаний в основном корпусе не найдено; Firefly: 5 вакансий в основном корпусе</x:v>
      </x:c>
    </x:row>
    <x:row r="6" ht="64" customHeight="1">
      <x:c r="A6" s="2" t="str">
        <x:v>C05</x:v>
      </x:c>
      <x:c r="B6" s="2" t="str">
        <x:v>CPG/FMCG/beauty</x:v>
      </x:c>
      <x:c r="C6" s="9" t="str">
        <x:v>Coca-Cola</x:v>
      </x:c>
      <x:c r="D6" s="8" t="n">
        <x:f>SUMIFS('Вакансии'!$K$2:$K$109,'Вакансии'!$B$2:$B$109,$A6)</x:f>
        <x:v>0</x:v>
      </x:c>
      <x:c r="E6" s="8" t="n">
        <x:f>SUMIFS('Вакансии'!$L$2:$L$109,'Вакансии'!$B$2:$B$109,$A6)</x:f>
        <x:v>1</x:v>
      </x:c>
      <x:c r="F6" s="8" t="n">
        <x:f>SUMIFS('Вакансии'!$M$2:$M$109,'Вакансии'!$B$2:$B$109,$A6)</x:f>
        <x:v>3</x:v>
      </x:c>
      <x:c r="G6" s="8" t="n">
        <x:f>COUNTIFS('Вакансии'!$B$2:$B$109,$A6)</x:f>
        <x:v>4</x:v>
      </x:c>
      <x:c r="H6" s="9" t="str">
        <x:v>Найдены проверенные упоминания</x:v>
      </x:c>
      <x:c r="I6" s="9" t="str">
        <x:v>The Coca-Cola Company</x:v>
      </x:c>
      <x:c r="J6" s="9" t="str">
        <x:v>Beverages</x:v>
      </x:c>
      <x:c r="K6" s="9" t="str">
        <x:v>Employer group; time-sensitive subsidiary attribution</x:v>
      </x:c>
      <x:c r="L6" s="9" t="str">
        <x:v>Exclude independent bottling groups unless employer demonstrably within parent</x:v>
      </x:c>
      <x:c r="M6" s="9" t="str">
        <x:v>Higgsfield: Проверенных упоминаний в основном корпусе не найдено; Runway: 1 вакансий в основном корпусе; Firefly: 3 вакансий в основном корпусе; 1 вне основного корпуса</x:v>
      </x:c>
    </x:row>
    <x:row r="7" ht="64" customHeight="1">
      <x:c r="A7" s="2" t="str">
        <x:v>C06</x:v>
      </x:c>
      <x:c r="B7" s="2" t="str">
        <x:v>CPG/FMCG/beauty</x:v>
      </x:c>
      <x:c r="C7" s="9" t="str">
        <x:v>AB InBev</x:v>
      </x:c>
      <x:c r="D7" s="8" t="n">
        <x:f>SUMIFS('Вакансии'!$K$2:$K$109,'Вакансии'!$B$2:$B$109,$A7)</x:f>
        <x:v>0</x:v>
      </x:c>
      <x:c r="E7" s="8" t="n">
        <x:f>SUMIFS('Вакансии'!$L$2:$L$109,'Вакансии'!$B$2:$B$109,$A7)</x:f>
        <x:v>0</x:v>
      </x:c>
      <x:c r="F7" s="8" t="n">
        <x:f>SUMIFS('Вакансии'!$M$2:$M$109,'Вакансии'!$B$2:$B$109,$A7)</x:f>
        <x:v>0</x:v>
      </x:c>
      <x:c r="G7" s="8" t="n">
        <x:f>COUNTIFS('Вакансии'!$B$2:$B$109,$A7)</x:f>
        <x:v>0</x:v>
      </x:c>
      <x:c r="H7" s="9" t="str">
        <x:v>Проверенных упоминаний не найдено</x:v>
      </x:c>
      <x:c r="I7" s="9" t="str">
        <x:v>Anheuser-Busch InBev|Anheuser Busch|AB-InBev</x:v>
      </x:c>
      <x:c r="J7" s="9" t="str">
        <x:v>Beverages</x:v>
      </x:c>
      <x:c r="K7" s="9" t="str">
        <x:v>Employer group; time-sensitive subsidiary attribution</x:v>
      </x:c>
      <x:c r="L7" s="9" t="str">
        <x:v>Include verified operating breweries within group</x:v>
      </x:c>
      <x:c r="M7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8" ht="64" customHeight="1">
      <x:c r="A8" s="2" t="str">
        <x:v>C07</x:v>
      </x:c>
      <x:c r="B8" s="2" t="str">
        <x:v>CPG/FMCG/beauty</x:v>
      </x:c>
      <x:c r="C8" s="9" t="str">
        <x:v>L’Oréal</x:v>
      </x:c>
      <x:c r="D8" s="8" t="n">
        <x:f>SUMIFS('Вакансии'!$K$2:$K$109,'Вакансии'!$B$2:$B$109,$A8)</x:f>
        <x:v>0</x:v>
      </x:c>
      <x:c r="E8" s="8" t="n">
        <x:f>SUMIFS('Вакансии'!$L$2:$L$109,'Вакансии'!$B$2:$B$109,$A8)</x:f>
        <x:v>1</x:v>
      </x:c>
      <x:c r="F8" s="8" t="n">
        <x:f>SUMIFS('Вакансии'!$M$2:$M$109,'Вакансии'!$B$2:$B$109,$A8)</x:f>
        <x:v>2</x:v>
      </x:c>
      <x:c r="G8" s="8" t="n">
        <x:f>COUNTIFS('Вакансии'!$B$2:$B$109,$A8)</x:f>
        <x:v>2</x:v>
      </x:c>
      <x:c r="H8" s="9" t="str">
        <x:v>Найдены проверенные упоминания</x:v>
      </x:c>
      <x:c r="I8" s="9" t="str">
        <x:v>L'Oreal|L’Oreal|Loreal|L'Oréal</x:v>
      </x:c>
      <x:c r="J8" s="9" t="str">
        <x:v>Beauty</x:v>
      </x:c>
      <x:c r="K8" s="9" t="str">
        <x:v>Employer group; time-sensitive subsidiary attribution</x:v>
      </x:c>
      <x:c r="L8" s="9" t="str">
        <x:v>Include verified group beauty subsidiaries; retail brand name alone insufficient</x:v>
      </x:c>
      <x:c r="M8" s="9" t="str">
        <x:v>Higgsfield: Проверенных упоминаний в основном корпусе не найдено; Runway: 1 вакансий в основном корпусе; Firefly: 2 вакансий в основном корпусе</x:v>
      </x:c>
    </x:row>
    <x:row r="9" ht="64" customHeight="1">
      <x:c r="A9" s="2" t="str">
        <x:v>C08</x:v>
      </x:c>
      <x:c r="B9" s="2" t="str">
        <x:v>CPG/FMCG/beauty</x:v>
      </x:c>
      <x:c r="C9" s="9" t="str">
        <x:v>Mondelez International</x:v>
      </x:c>
      <x:c r="D9" s="8" t="n">
        <x:f>SUMIFS('Вакансии'!$K$2:$K$109,'Вакансии'!$B$2:$B$109,$A9)</x:f>
        <x:v>0</x:v>
      </x:c>
      <x:c r="E9" s="8" t="n">
        <x:f>SUMIFS('Вакансии'!$L$2:$L$109,'Вакансии'!$B$2:$B$109,$A9)</x:f>
        <x:v>0</x:v>
      </x:c>
      <x:c r="F9" s="8" t="n">
        <x:f>SUMIFS('Вакансии'!$M$2:$M$109,'Вакансии'!$B$2:$B$109,$A9)</x:f>
        <x:v>0</x:v>
      </x:c>
      <x:c r="G9" s="8" t="n">
        <x:f>COUNTIFS('Вакансии'!$B$2:$B$109,$A9)</x:f>
        <x:v>0</x:v>
      </x:c>
      <x:c r="H9" s="9" t="str">
        <x:v>Проверенных упоминаний не найдено</x:v>
      </x:c>
      <x:c r="I9" s="9" t="str">
        <x:v>Mondelēz|Mondelez</x:v>
      </x:c>
      <x:c r="J9" s="9" t="str">
        <x:v>Food</x:v>
      </x:c>
      <x:c r="K9" s="9" t="str">
        <x:v>Employer group; time-sensitive subsidiary attribution</x:v>
      </x:c>
      <x:c r="L9" s="9" t="str">
        <x:v>Parent employer and verified operating subsidiaries</x:v>
      </x:c>
      <x:c r="M9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10" ht="64" customHeight="1">
      <x:c r="A10" s="2" t="str">
        <x:v>C09</x:v>
      </x:c>
      <x:c r="B10" s="2" t="str">
        <x:v>CPG/FMCG/beauty</x:v>
      </x:c>
      <x:c r="C10" s="9" t="str">
        <x:v>Danone</x:v>
      </x:c>
      <x:c r="D10" s="8" t="n">
        <x:f>SUMIFS('Вакансии'!$K$2:$K$109,'Вакансии'!$B$2:$B$109,$A10)</x:f>
        <x:v>0</x:v>
      </x:c>
      <x:c r="E10" s="8" t="n">
        <x:f>SUMIFS('Вакансии'!$L$2:$L$109,'Вакансии'!$B$2:$B$109,$A10)</x:f>
        <x:v>0</x:v>
      </x:c>
      <x:c r="F10" s="8" t="n">
        <x:f>SUMIFS('Вакансии'!$M$2:$M$109,'Вакансии'!$B$2:$B$109,$A10)</x:f>
        <x:v>0</x:v>
      </x:c>
      <x:c r="G10" s="8" t="n">
        <x:f>COUNTIFS('Вакансии'!$B$2:$B$109,$A10)</x:f>
        <x:v>0</x:v>
      </x:c>
      <x:c r="H10" s="9" t="str">
        <x:v>Проверенных упоминаний не найдено</x:v>
      </x:c>
      <x:c r="I10" s="9" t="str">
        <x:v>Groupe Danone</x:v>
      </x:c>
      <x:c r="J10" s="9" t="str">
        <x:v>Dairy/food/beverages</x:v>
      </x:c>
      <x:c r="K10" s="9" t="str">
        <x:v>Employer group; time-sensitive subsidiary attribution</x:v>
      </x:c>
      <x:c r="L10" s="9" t="str">
        <x:v>Parent employer and verified operating subsidiaries</x:v>
      </x:c>
      <x:c r="M10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11" ht="64" customHeight="1">
      <x:c r="A11" s="2" t="str">
        <x:v>C10</x:v>
      </x:c>
      <x:c r="B11" s="2" t="str">
        <x:v>CPG/FMCG/beauty</x:v>
      </x:c>
      <x:c r="C11" s="9" t="str">
        <x:v>Kraft Heinz</x:v>
      </x:c>
      <x:c r="D11" s="8" t="n">
        <x:f>SUMIFS('Вакансии'!$K$2:$K$109,'Вакансии'!$B$2:$B$109,$A11)</x:f>
        <x:v>0</x:v>
      </x:c>
      <x:c r="E11" s="8" t="n">
        <x:f>SUMIFS('Вакансии'!$L$2:$L$109,'Вакансии'!$B$2:$B$109,$A11)</x:f>
        <x:v>0</x:v>
      </x:c>
      <x:c r="F11" s="8" t="n">
        <x:f>SUMIFS('Вакансии'!$M$2:$M$109,'Вакансии'!$B$2:$B$109,$A11)</x:f>
        <x:v>0</x:v>
      </x:c>
      <x:c r="G11" s="8" t="n">
        <x:f>COUNTIFS('Вакансии'!$B$2:$B$109,$A11)</x:f>
        <x:v>0</x:v>
      </x:c>
      <x:c r="H11" s="9" t="str">
        <x:v>Проверенных упоминаний не найдено</x:v>
      </x:c>
      <x:c r="I11" s="9" t="str">
        <x:v>The Kraft Heinz Company|KraftHeinz</x:v>
      </x:c>
      <x:c r="J11" s="9" t="str">
        <x:v>Food</x:v>
      </x:c>
      <x:c r="K11" s="9" t="str">
        <x:v>Employer group; time-sensitive subsidiary attribution</x:v>
      </x:c>
      <x:c r="L11" s="9" t="str">
        <x:v>Parent employer and verified operating subsidiaries</x:v>
      </x:c>
      <x:c r="M11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12" ht="64" customHeight="1">
      <x:c r="A12" s="2" t="str">
        <x:v>C11</x:v>
      </x:c>
      <x:c r="B12" s="2" t="str">
        <x:v>CPG/FMCG/beauty</x:v>
      </x:c>
      <x:c r="C12" s="9" t="str">
        <x:v>General Mills</x:v>
      </x:c>
      <x:c r="D12" s="8" t="n">
        <x:f>SUMIFS('Вакансии'!$K$2:$K$109,'Вакансии'!$B$2:$B$109,$A12)</x:f>
        <x:v>0</x:v>
      </x:c>
      <x:c r="E12" s="8" t="n">
        <x:f>SUMIFS('Вакансии'!$L$2:$L$109,'Вакансии'!$B$2:$B$109,$A12)</x:f>
        <x:v>0</x:v>
      </x:c>
      <x:c r="F12" s="8" t="n">
        <x:f>SUMIFS('Вакансии'!$M$2:$M$109,'Вакансии'!$B$2:$B$109,$A12)</x:f>
        <x:v>0</x:v>
      </x:c>
      <x:c r="G12" s="8" t="n">
        <x:f>COUNTIFS('Вакансии'!$B$2:$B$109,$A12)</x:f>
        <x:v>0</x:v>
      </x:c>
      <x:c r="H12" s="9" t="str">
        <x:v>Проверенных упоминаний не найдено</x:v>
      </x:c>
      <x:c r="I12" s="9" t="str">
        <x:v>General Mills Inc</x:v>
      </x:c>
      <x:c r="J12" s="9" t="str">
        <x:v>Food</x:v>
      </x:c>
      <x:c r="K12" s="9" t="str">
        <x:v>Employer group; time-sensitive subsidiary attribution</x:v>
      </x:c>
      <x:c r="L12" s="9" t="str">
        <x:v>Parent employer and verified operating subsidiaries</x:v>
      </x:c>
      <x:c r="M12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13" ht="64" customHeight="1">
      <x:c r="A13" s="2" t="str">
        <x:v>C12</x:v>
      </x:c>
      <x:c r="B13" s="2" t="str">
        <x:v>CPG/FMCG/beauty</x:v>
      </x:c>
      <x:c r="C13" s="9" t="str">
        <x:v>Mars</x:v>
      </x:c>
      <x:c r="D13" s="8" t="n">
        <x:f>SUMIFS('Вакансии'!$K$2:$K$109,'Вакансии'!$B$2:$B$109,$A13)</x:f>
        <x:v>0</x:v>
      </x:c>
      <x:c r="E13" s="8" t="n">
        <x:f>SUMIFS('Вакансии'!$L$2:$L$109,'Вакансии'!$B$2:$B$109,$A13)</x:f>
        <x:v>0</x:v>
      </x:c>
      <x:c r="F13" s="8" t="n">
        <x:f>SUMIFS('Вакансии'!$M$2:$M$109,'Вакансии'!$B$2:$B$109,$A13)</x:f>
        <x:v>0</x:v>
      </x:c>
      <x:c r="G13" s="8" t="n">
        <x:f>COUNTIFS('Вакансии'!$B$2:$B$109,$A13)</x:f>
        <x:v>0</x:v>
      </x:c>
      <x:c r="H13" s="9" t="str">
        <x:v>Проверенных упоминаний не найдено</x:v>
      </x:c>
      <x:c r="I13" s="9" t="str">
        <x:v>Mars Incorporated|Mars Inc|Mars Wrigley|Mars Snacking|Kellanova</x:v>
      </x:c>
      <x:c r="J13" s="9" t="str">
        <x:v>Food/petcare</x:v>
      </x:c>
      <x:c r="K13" s="9" t="str">
        <x:v>Employer group; time-sensitive subsidiary attribution</x:v>
      </x:c>
      <x:c r="L13" s="9" t="str">
        <x:v>Kellanova acquired 11 Dec 2025; retain posting employer and never duplicate ad</x:v>
      </x:c>
      <x:c r="M13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14" ht="64" customHeight="1">
      <x:c r="A14" s="2" t="str">
        <x:v>C13</x:v>
      </x:c>
      <x:c r="B14" s="2" t="str">
        <x:v>CPG/FMCG/beauty</x:v>
      </x:c>
      <x:c r="C14" s="9" t="str">
        <x:v>Ferrero</x:v>
      </x:c>
      <x:c r="D14" s="8" t="n">
        <x:f>SUMIFS('Вакансии'!$K$2:$K$109,'Вакансии'!$B$2:$B$109,$A14)</x:f>
        <x:v>0</x:v>
      </x:c>
      <x:c r="E14" s="8" t="n">
        <x:f>SUMIFS('Вакансии'!$L$2:$L$109,'Вакансии'!$B$2:$B$109,$A14)</x:f>
        <x:v>1</x:v>
      </x:c>
      <x:c r="F14" s="8" t="n">
        <x:f>SUMIFS('Вакансии'!$M$2:$M$109,'Вакансии'!$B$2:$B$109,$A14)</x:f>
        <x:v>0</x:v>
      </x:c>
      <x:c r="G14" s="8" t="n">
        <x:f>COUNTIFS('Вакансии'!$B$2:$B$109,$A14)</x:f>
        <x:v>1</x:v>
      </x:c>
      <x:c r="H14" s="9" t="str">
        <x:v>Найдены проверенные упоминания</x:v>
      </x:c>
      <x:c r="I14" s="9" t="str">
        <x:v>Ferrero Group|Ferrero International|WK Kellogg</x:v>
      </x:c>
      <x:c r="J14" s="9" t="str">
        <x:v>Food</x:v>
      </x:c>
      <x:c r="K14" s="9" t="str">
        <x:v>Employer group; time-sensitive subsidiary attribution</x:v>
      </x:c>
      <x:c r="L14" s="9" t="str">
        <x:v>WK Kellogg acquired 26 Sep 2025; distinguish from Kellanova/Mars</x:v>
      </x:c>
      <x:c r="M14" s="9" t="str">
        <x:v>Higgsfield: Проверенных упоминаний в основном корпусе не найдено; Runway: 1 вакансий в основном корпусе; Firefly: Проверенных упоминаний в основном корпусе не найдено</x:v>
      </x:c>
    </x:row>
    <x:row r="15" ht="64" customHeight="1">
      <x:c r="A15" s="2" t="str">
        <x:v>C14</x:v>
      </x:c>
      <x:c r="B15" s="2" t="str">
        <x:v>CPG/FMCG/beauty</x:v>
      </x:c>
      <x:c r="C15" s="9" t="str">
        <x:v>Heineken</x:v>
      </x:c>
      <x:c r="D15" s="8" t="n">
        <x:f>SUMIFS('Вакансии'!$K$2:$K$109,'Вакансии'!$B$2:$B$109,$A15)</x:f>
        <x:v>0</x:v>
      </x:c>
      <x:c r="E15" s="8" t="n">
        <x:f>SUMIFS('Вакансии'!$L$2:$L$109,'Вакансии'!$B$2:$B$109,$A15)</x:f>
        <x:v>0</x:v>
      </x:c>
      <x:c r="F15" s="8" t="n">
        <x:f>SUMIFS('Вакансии'!$M$2:$M$109,'Вакансии'!$B$2:$B$109,$A15)</x:f>
        <x:v>0</x:v>
      </x:c>
      <x:c r="G15" s="8" t="n">
        <x:f>COUNTIFS('Вакансии'!$B$2:$B$109,$A15)</x:f>
        <x:v>0</x:v>
      </x:c>
      <x:c r="H15" s="9" t="str">
        <x:v>Проверенных упоминаний не найдено</x:v>
      </x:c>
      <x:c r="I15" s="9" t="str">
        <x:v>Heineken N.V.|Heineken Holding</x:v>
      </x:c>
      <x:c r="J15" s="9" t="str">
        <x:v>Beverages</x:v>
      </x:c>
      <x:c r="K15" s="9" t="str">
        <x:v>Employer group; time-sensitive subsidiary attribution</x:v>
      </x:c>
      <x:c r="L15" s="9" t="str">
        <x:v>Parent employer and verified operating subsidiaries</x:v>
      </x:c>
      <x:c r="M15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16" ht="64" customHeight="1">
      <x:c r="A16" s="2" t="str">
        <x:v>C15</x:v>
      </x:c>
      <x:c r="B16" s="2" t="str">
        <x:v>CPG/FMCG/beauty</x:v>
      </x:c>
      <x:c r="C16" s="9" t="str">
        <x:v>Diageo</x:v>
      </x:c>
      <x:c r="D16" s="8" t="n">
        <x:f>SUMIFS('Вакансии'!$K$2:$K$109,'Вакансии'!$B$2:$B$109,$A16)</x:f>
        <x:v>0</x:v>
      </x:c>
      <x:c r="E16" s="8" t="n">
        <x:f>SUMIFS('Вакансии'!$L$2:$L$109,'Вакансии'!$B$2:$B$109,$A16)</x:f>
        <x:v>0</x:v>
      </x:c>
      <x:c r="F16" s="8" t="n">
        <x:f>SUMIFS('Вакансии'!$M$2:$M$109,'Вакансии'!$B$2:$B$109,$A16)</x:f>
        <x:v>0</x:v>
      </x:c>
      <x:c r="G16" s="8" t="n">
        <x:f>COUNTIFS('Вакансии'!$B$2:$B$109,$A16)</x:f>
        <x:v>0</x:v>
      </x:c>
      <x:c r="H16" s="9" t="str">
        <x:v>Проверенных упоминаний не найдено</x:v>
      </x:c>
      <x:c r="I16" s="9" t="str">
        <x:v>Diageo PLC</x:v>
      </x:c>
      <x:c r="J16" s="9" t="str">
        <x:v>Beverages</x:v>
      </x:c>
      <x:c r="K16" s="9" t="str">
        <x:v>Employer group; time-sensitive subsidiary attribution</x:v>
      </x:c>
      <x:c r="L16" s="9" t="str">
        <x:v>Parent employer and verified operating subsidiaries</x:v>
      </x:c>
      <x:c r="M16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17" ht="64" customHeight="1">
      <x:c r="A17" s="2" t="str">
        <x:v>C16</x:v>
      </x:c>
      <x:c r="B17" s="2" t="str">
        <x:v>CPG/FMCG/beauty</x:v>
      </x:c>
      <x:c r="C17" s="9" t="str">
        <x:v>Pernod Ricard</x:v>
      </x:c>
      <x:c r="D17" s="8" t="n">
        <x:f>SUMIFS('Вакансии'!$K$2:$K$109,'Вакансии'!$B$2:$B$109,$A17)</x:f>
        <x:v>0</x:v>
      </x:c>
      <x:c r="E17" s="8" t="n">
        <x:f>SUMIFS('Вакансии'!$L$2:$L$109,'Вакансии'!$B$2:$B$109,$A17)</x:f>
        <x:v>0</x:v>
      </x:c>
      <x:c r="F17" s="8" t="n">
        <x:f>SUMIFS('Вакансии'!$M$2:$M$109,'Вакансии'!$B$2:$B$109,$A17)</x:f>
        <x:v>0</x:v>
      </x:c>
      <x:c r="G17" s="8" t="n">
        <x:f>COUNTIFS('Вакансии'!$B$2:$B$109,$A17)</x:f>
        <x:v>0</x:v>
      </x:c>
      <x:c r="H17" s="9" t="str">
        <x:v>Проверенных упоминаний не найдено</x:v>
      </x:c>
      <x:c r="I17" s="9" t="str">
        <x:v>Pernod-Ricard</x:v>
      </x:c>
      <x:c r="J17" s="9" t="str">
        <x:v>Beverages</x:v>
      </x:c>
      <x:c r="K17" s="9" t="str">
        <x:v>Employer group; time-sensitive subsidiary attribution</x:v>
      </x:c>
      <x:c r="L17" s="9" t="str">
        <x:v>Parent employer and verified operating subsidiaries</x:v>
      </x:c>
      <x:c r="M17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18" ht="64" customHeight="1">
      <x:c r="A18" s="2" t="str">
        <x:v>C17</x:v>
      </x:c>
      <x:c r="B18" s="2" t="str">
        <x:v>CPG/FMCG/beauty</x:v>
      </x:c>
      <x:c r="C18" s="9" t="str">
        <x:v>Carlsberg</x:v>
      </x:c>
      <x:c r="D18" s="8" t="n">
        <x:f>SUMIFS('Вакансии'!$K$2:$K$109,'Вакансии'!$B$2:$B$109,$A18)</x:f>
        <x:v>0</x:v>
      </x:c>
      <x:c r="E18" s="8" t="n">
        <x:f>SUMIFS('Вакансии'!$L$2:$L$109,'Вакансии'!$B$2:$B$109,$A18)</x:f>
        <x:v>0</x:v>
      </x:c>
      <x:c r="F18" s="8" t="n">
        <x:f>SUMIFS('Вакансии'!$M$2:$M$109,'Вакансии'!$B$2:$B$109,$A18)</x:f>
        <x:v>0</x:v>
      </x:c>
      <x:c r="G18" s="8" t="n">
        <x:f>COUNTIFS('Вакансии'!$B$2:$B$109,$A18)</x:f>
        <x:v>0</x:v>
      </x:c>
      <x:c r="H18" s="9" t="str">
        <x:v>Проверенных упоминаний не найдено</x:v>
      </x:c>
      <x:c r="I18" s="9" t="str">
        <x:v>Carlsberg Group|Carlsberg A/S</x:v>
      </x:c>
      <x:c r="J18" s="9" t="str">
        <x:v>Beverages</x:v>
      </x:c>
      <x:c r="K18" s="9" t="str">
        <x:v>Employer group; time-sensitive subsidiary attribution</x:v>
      </x:c>
      <x:c r="L18" s="9" t="str">
        <x:v>Parent employer and verified operating subsidiaries</x:v>
      </x:c>
      <x:c r="M18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19" ht="64" customHeight="1">
      <x:c r="A19" s="2" t="str">
        <x:v>C18</x:v>
      </x:c>
      <x:c r="B19" s="2" t="str">
        <x:v>CPG/FMCG/beauty</x:v>
      </x:c>
      <x:c r="C19" s="9" t="str">
        <x:v>Asahi Group</x:v>
      </x:c>
      <x:c r="D19" s="8" t="n">
        <x:f>SUMIFS('Вакансии'!$K$2:$K$109,'Вакансии'!$B$2:$B$109,$A19)</x:f>
        <x:v>0</x:v>
      </x:c>
      <x:c r="E19" s="8" t="n">
        <x:f>SUMIFS('Вакансии'!$L$2:$L$109,'Вакансии'!$B$2:$B$109,$A19)</x:f>
        <x:v>0</x:v>
      </x:c>
      <x:c r="F19" s="8" t="n">
        <x:f>SUMIFS('Вакансии'!$M$2:$M$109,'Вакансии'!$B$2:$B$109,$A19)</x:f>
        <x:v>0</x:v>
      </x:c>
      <x:c r="G19" s="8" t="n">
        <x:f>COUNTIFS('Вакансии'!$B$2:$B$109,$A19)</x:f>
        <x:v>0</x:v>
      </x:c>
      <x:c r="H19" s="9" t="str">
        <x:v>Проверенных упоминаний не найдено</x:v>
      </x:c>
      <x:c r="I19" s="9" t="str">
        <x:v>Asahi Group Holdings|Asahi Breweries</x:v>
      </x:c>
      <x:c r="J19" s="9" t="str">
        <x:v>Beverages</x:v>
      </x:c>
      <x:c r="K19" s="9" t="str">
        <x:v>Employer group; time-sensitive subsidiary attribution</x:v>
      </x:c>
      <x:c r="L19" s="9" t="str">
        <x:v>Parent employer and verified operating subsidiaries</x:v>
      </x:c>
      <x:c r="M19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20" ht="64" customHeight="1">
      <x:c r="A20" s="2" t="str">
        <x:v>C19</x:v>
      </x:c>
      <x:c r="B20" s="2" t="str">
        <x:v>CPG/FMCG/beauty</x:v>
      </x:c>
      <x:c r="C20" s="9" t="str">
        <x:v>Suntory</x:v>
      </x:c>
      <x:c r="D20" s="8" t="n">
        <x:f>SUMIFS('Вакансии'!$K$2:$K$109,'Вакансии'!$B$2:$B$109,$A20)</x:f>
        <x:v>0</x:v>
      </x:c>
      <x:c r="E20" s="8" t="n">
        <x:f>SUMIFS('Вакансии'!$L$2:$L$109,'Вакансии'!$B$2:$B$109,$A20)</x:f>
        <x:v>0</x:v>
      </x:c>
      <x:c r="F20" s="8" t="n">
        <x:f>SUMIFS('Вакансии'!$M$2:$M$109,'Вакансии'!$B$2:$B$109,$A20)</x:f>
        <x:v>0</x:v>
      </x:c>
      <x:c r="G20" s="8" t="n">
        <x:f>COUNTIFS('Вакансии'!$B$2:$B$109,$A20)</x:f>
        <x:v>0</x:v>
      </x:c>
      <x:c r="H20" s="9" t="str">
        <x:v>Проверенных упоминаний не найдено</x:v>
      </x:c>
      <x:c r="I20" s="9" t="str">
        <x:v>Suntory Holdings|Suntory Global Spirits|Beam Suntory|Suntory Beverage &amp; Food</x:v>
      </x:c>
      <x:c r="J20" s="9" t="str">
        <x:v>Beverages</x:v>
      </x:c>
      <x:c r="K20" s="9" t="str">
        <x:v>Employer group; time-sensitive subsidiary attribution</x:v>
      </x:c>
      <x:c r="L20" s="9" t="str">
        <x:v>Parent employer and verified operating subsidiaries</x:v>
      </x:c>
      <x:c r="M20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21" ht="64" customHeight="1">
      <x:c r="A21" s="2" t="str">
        <x:v>C20</x:v>
      </x:c>
      <x:c r="B21" s="2" t="str">
        <x:v>CPG/FMCG/beauty</x:v>
      </x:c>
      <x:c r="C21" s="9" t="str">
        <x:v>Kirin Holdings</x:v>
      </x:c>
      <x:c r="D21" s="8" t="n">
        <x:f>SUMIFS('Вакансии'!$K$2:$K$109,'Вакансии'!$B$2:$B$109,$A21)</x:f>
        <x:v>0</x:v>
      </x:c>
      <x:c r="E21" s="8" t="n">
        <x:f>SUMIFS('Вакансии'!$L$2:$L$109,'Вакансии'!$B$2:$B$109,$A21)</x:f>
        <x:v>0</x:v>
      </x:c>
      <x:c r="F21" s="8" t="n">
        <x:f>SUMIFS('Вакансии'!$M$2:$M$109,'Вакансии'!$B$2:$B$109,$A21)</x:f>
        <x:v>0</x:v>
      </x:c>
      <x:c r="G21" s="8" t="n">
        <x:f>COUNTIFS('Вакансии'!$B$2:$B$109,$A21)</x:f>
        <x:v>0</x:v>
      </x:c>
      <x:c r="H21" s="9" t="str">
        <x:v>Проверенных упоминаний не найдено</x:v>
      </x:c>
      <x:c r="I21" s="9" t="str">
        <x:v>Kirin|Kirin Brewery</x:v>
      </x:c>
      <x:c r="J21" s="9" t="str">
        <x:v>Beverages</x:v>
      </x:c>
      <x:c r="K21" s="9" t="str">
        <x:v>Employer group; time-sensitive subsidiary attribution</x:v>
      </x:c>
      <x:c r="L21" s="9" t="str">
        <x:v>Parent employer and verified operating subsidiaries</x:v>
      </x:c>
      <x:c r="M21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22" ht="64" customHeight="1">
      <x:c r="A22" s="2" t="str">
        <x:v>C21</x:v>
      </x:c>
      <x:c r="B22" s="2" t="str">
        <x:v>CPG/FMCG/beauty</x:v>
      </x:c>
      <x:c r="C22" s="9" t="str">
        <x:v>Colgate-Palmolive</x:v>
      </x:c>
      <x:c r="D22" s="8" t="n">
        <x:f>SUMIFS('Вакансии'!$K$2:$K$109,'Вакансии'!$B$2:$B$109,$A22)</x:f>
        <x:v>0</x:v>
      </x:c>
      <x:c r="E22" s="8" t="n">
        <x:f>SUMIFS('Вакансии'!$L$2:$L$109,'Вакансии'!$B$2:$B$109,$A22)</x:f>
        <x:v>0</x:v>
      </x:c>
      <x:c r="F22" s="8" t="n">
        <x:f>SUMIFS('Вакансии'!$M$2:$M$109,'Вакансии'!$B$2:$B$109,$A22)</x:f>
        <x:v>1</x:v>
      </x:c>
      <x:c r="G22" s="8" t="n">
        <x:f>COUNTIFS('Вакансии'!$B$2:$B$109,$A22)</x:f>
        <x:v>1</x:v>
      </x:c>
      <x:c r="H22" s="9" t="str">
        <x:v>Найдены проверенные упоминания</x:v>
      </x:c>
      <x:c r="I22" s="9" t="str">
        <x:v>Colgate Palmolive|Colgate-Palmolive Company</x:v>
      </x:c>
      <x:c r="J22" s="9" t="str">
        <x:v>Personal care/household/petcare</x:v>
      </x:c>
      <x:c r="K22" s="9" t="str">
        <x:v>Employer group; time-sensitive subsidiary attribution</x:v>
      </x:c>
      <x:c r="L22" s="9" t="str">
        <x:v>Parent employer and verified operating subsidiaries</x:v>
      </x:c>
      <x:c r="M22" s="9" t="str">
        <x:v>Higgsfield: Проверенных упоминаний в основном корпусе не найдено; Runway: Проверенных упоминаний в основном корпусе не найдено; Firefly: 1 вакансий в основном корпусе</x:v>
      </x:c>
    </x:row>
    <x:row r="23" ht="64" customHeight="1">
      <x:c r="A23" s="2" t="str">
        <x:v>C22</x:v>
      </x:c>
      <x:c r="B23" s="2" t="str">
        <x:v>CPG/FMCG/beauty</x:v>
      </x:c>
      <x:c r="C23" s="9" t="str">
        <x:v>Kimberly-Clark</x:v>
      </x:c>
      <x:c r="D23" s="8" t="n">
        <x:f>SUMIFS('Вакансии'!$K$2:$K$109,'Вакансии'!$B$2:$B$109,$A23)</x:f>
        <x:v>0</x:v>
      </x:c>
      <x:c r="E23" s="8" t="n">
        <x:f>SUMIFS('Вакансии'!$L$2:$L$109,'Вакансии'!$B$2:$B$109,$A23)</x:f>
        <x:v>0</x:v>
      </x:c>
      <x:c r="F23" s="8" t="n">
        <x:f>SUMIFS('Вакансии'!$M$2:$M$109,'Вакансии'!$B$2:$B$109,$A23)</x:f>
        <x:v>1</x:v>
      </x:c>
      <x:c r="G23" s="8" t="n">
        <x:f>COUNTIFS('Вакансии'!$B$2:$B$109,$A23)</x:f>
        <x:v>1</x:v>
      </x:c>
      <x:c r="H23" s="9" t="str">
        <x:v>Найдены проверенные упоминания</x:v>
      </x:c>
      <x:c r="I23" s="9" t="str">
        <x:v>Kimberly Clark|Kimberly-Clark Corporation</x:v>
      </x:c>
      <x:c r="J23" s="9" t="str">
        <x:v>Personal care/household</x:v>
      </x:c>
      <x:c r="K23" s="9" t="str">
        <x:v>Employer group; time-sensitive subsidiary attribution</x:v>
      </x:c>
      <x:c r="L23" s="9" t="str">
        <x:v>Kenvue acquisition still pending as of official 1 Oct 2026 statement; Kenvue separate sample row</x:v>
      </x:c>
      <x:c r="M23" s="9" t="str">
        <x:v>Higgsfield: Проверенных упоминаний в основном корпусе не найдено; Runway: Проверенных упоминаний в основном корпусе не найдено; Firefly: 1 вакансий в основном корпусе</x:v>
      </x:c>
    </x:row>
    <x:row r="24" ht="64" customHeight="1">
      <x:c r="A24" s="2" t="str">
        <x:v>C23</x:v>
      </x:c>
      <x:c r="B24" s="2" t="str">
        <x:v>CPG/FMCG/beauty</x:v>
      </x:c>
      <x:c r="C24" s="9" t="str">
        <x:v>Reckitt</x:v>
      </x:c>
      <x:c r="D24" s="8" t="n">
        <x:f>SUMIFS('Вакансии'!$K$2:$K$109,'Вакансии'!$B$2:$B$109,$A24)</x:f>
        <x:v>1</x:v>
      </x:c>
      <x:c r="E24" s="8" t="n">
        <x:f>SUMIFS('Вакансии'!$L$2:$L$109,'Вакансии'!$B$2:$B$109,$A24)</x:f>
        <x:v>2</x:v>
      </x:c>
      <x:c r="F24" s="8" t="n">
        <x:f>SUMIFS('Вакансии'!$M$2:$M$109,'Вакансии'!$B$2:$B$109,$A24)</x:f>
        <x:v>1</x:v>
      </x:c>
      <x:c r="G24" s="8" t="n">
        <x:f>COUNTIFS('Вакансии'!$B$2:$B$109,$A24)</x:f>
        <x:v>2</x:v>
      </x:c>
      <x:c r="H24" s="9" t="str">
        <x:v>Найдены проверенные упоминания</x:v>
      </x:c>
      <x:c r="I24" s="9" t="str">
        <x:v>Reckitt Benckiser|RB</x:v>
      </x:c>
      <x:c r="J24" s="9" t="str">
        <x:v>Household/consumer health</x:v>
      </x:c>
      <x:c r="K24" s="9" t="str">
        <x:v>Employer group; time-sensitive subsidiary attribution</x:v>
      </x:c>
      <x:c r="L24" s="9" t="str">
        <x:v>Require employer evidence for ambiguous RB abbreviation</x:v>
      </x:c>
      <x:c r="M24" s="9" t="str">
        <x:v>Higgsfield: 1 вакансий в основном корпусе; Runway: 2 вакансий в основном корпусе; Firefly: 1 вакансий в основном корпусе</x:v>
      </x:c>
    </x:row>
    <x:row r="25" ht="64" customHeight="1">
      <x:c r="A25" s="2" t="str">
        <x:v>C24</x:v>
      </x:c>
      <x:c r="B25" s="2" t="str">
        <x:v>CPG/FMCG/beauty</x:v>
      </x:c>
      <x:c r="C25" s="9" t="str">
        <x:v>Henkel</x:v>
      </x:c>
      <x:c r="D25" s="8" t="n">
        <x:f>SUMIFS('Вакансии'!$K$2:$K$109,'Вакансии'!$B$2:$B$109,$A25)</x:f>
        <x:v>0</x:v>
      </x:c>
      <x:c r="E25" s="8" t="n">
        <x:f>SUMIFS('Вакансии'!$L$2:$L$109,'Вакансии'!$B$2:$B$109,$A25)</x:f>
        <x:v>1</x:v>
      </x:c>
      <x:c r="F25" s="8" t="n">
        <x:f>SUMIFS('Вакансии'!$M$2:$M$109,'Вакансии'!$B$2:$B$109,$A25)</x:f>
        <x:v>0</x:v>
      </x:c>
      <x:c r="G25" s="8" t="n">
        <x:f>COUNTIFS('Вакансии'!$B$2:$B$109,$A25)</x:f>
        <x:v>1</x:v>
      </x:c>
      <x:c r="H25" s="9" t="str">
        <x:v>Найдены проверенные упоминания</x:v>
      </x:c>
      <x:c r="I25" s="9" t="str">
        <x:v>Henkel AG|Henkel Consumer Brands</x:v>
      </x:c>
      <x:c r="J25" s="9" t="str">
        <x:v>Household/beauty</x:v>
      </x:c>
      <x:c r="K25" s="9" t="str">
        <x:v>Employer group; time-sensitive subsidiary attribution</x:v>
      </x:c>
      <x:c r="L25" s="9" t="str">
        <x:v>Creative marketing roles only; non-consumer industrial roles outside scope</x:v>
      </x:c>
      <x:c r="M25" s="9" t="str">
        <x:v>Higgsfield: Проверенных упоминаний в основном корпусе не найдено; Runway: 1 вакансий в основном корпусе; Firefly: Проверенных упоминаний в основном корпусе не найдено</x:v>
      </x:c>
    </x:row>
    <x:row r="26" ht="64" customHeight="1">
      <x:c r="A26" s="2" t="str">
        <x:v>C25</x:v>
      </x:c>
      <x:c r="B26" s="2" t="str">
        <x:v>CPG/FMCG/beauty</x:v>
      </x:c>
      <x:c r="C26" s="9" t="str">
        <x:v>Estée Lauder Companies</x:v>
      </x:c>
      <x:c r="D26" s="8" t="n">
        <x:f>SUMIFS('Вакансии'!$K$2:$K$109,'Вакансии'!$B$2:$B$109,$A26)</x:f>
        <x:v>0</x:v>
      </x:c>
      <x:c r="E26" s="8" t="n">
        <x:f>SUMIFS('Вакансии'!$L$2:$L$109,'Вакансии'!$B$2:$B$109,$A26)</x:f>
        <x:v>0</x:v>
      </x:c>
      <x:c r="F26" s="8" t="n">
        <x:f>SUMIFS('Вакансии'!$M$2:$M$109,'Вакансии'!$B$2:$B$109,$A26)</x:f>
        <x:v>2</x:v>
      </x:c>
      <x:c r="G26" s="8" t="n">
        <x:f>COUNTIFS('Вакансии'!$B$2:$B$109,$A26)</x:f>
        <x:v>2</x:v>
      </x:c>
      <x:c r="H26" s="9" t="str">
        <x:v>Найдены проверенные упоминания</x:v>
      </x:c>
      <x:c r="I26" s="9" t="str">
        <x:v>Estee Lauder Companies|The Estée Lauder Companies|ELC</x:v>
      </x:c>
      <x:c r="J26" s="9" t="str">
        <x:v>Beauty</x:v>
      </x:c>
      <x:c r="K26" s="9" t="str">
        <x:v>Employer group; time-sensitive subsidiary attribution</x:v>
      </x:c>
      <x:c r="L26" s="9" t="str">
        <x:v>Group employer and verified subsidiaries; distinguish company from product-brand mentions</x:v>
      </x:c>
      <x:c r="M26" s="9" t="str">
        <x:v>Higgsfield: Проверенных упоминаний в основном корпусе не найдено; Runway: Проверенных упоминаний в основном корпусе не найдено; Firefly: 2 вакансий в основном корпусе</x:v>
      </x:c>
    </x:row>
    <x:row r="27" ht="64" customHeight="1">
      <x:c r="A27" s="2" t="str">
        <x:v>C26</x:v>
      </x:c>
      <x:c r="B27" s="2" t="str">
        <x:v>CPG/FMCG/beauty</x:v>
      </x:c>
      <x:c r="C27" s="9" t="str">
        <x:v>Beiersdorf</x:v>
      </x:c>
      <x:c r="D27" s="8" t="n">
        <x:f>SUMIFS('Вакансии'!$K$2:$K$109,'Вакансии'!$B$2:$B$109,$A27)</x:f>
        <x:v>0</x:v>
      </x:c>
      <x:c r="E27" s="8" t="n">
        <x:f>SUMIFS('Вакансии'!$L$2:$L$109,'Вакансии'!$B$2:$B$109,$A27)</x:f>
        <x:v>0</x:v>
      </x:c>
      <x:c r="F27" s="8" t="n">
        <x:f>SUMIFS('Вакансии'!$M$2:$M$109,'Вакансии'!$B$2:$B$109,$A27)</x:f>
        <x:v>0</x:v>
      </x:c>
      <x:c r="G27" s="8" t="n">
        <x:f>COUNTIFS('Вакансии'!$B$2:$B$109,$A27)</x:f>
        <x:v>0</x:v>
      </x:c>
      <x:c r="H27" s="9" t="str">
        <x:v>Проверенных упоминаний не найдено</x:v>
      </x:c>
      <x:c r="I27" s="9" t="str">
        <x:v>Beiersdorf AG</x:v>
      </x:c>
      <x:c r="J27" s="9" t="str">
        <x:v>Beauty/personal care</x:v>
      </x:c>
      <x:c r="K27" s="9" t="str">
        <x:v>Employer group; time-sensitive subsidiary attribution</x:v>
      </x:c>
      <x:c r="L27" s="9" t="str">
        <x:v>Parent employer and verified operating subsidiaries</x:v>
      </x:c>
      <x:c r="M27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28" ht="64" customHeight="1">
      <x:c r="A28" s="2" t="str">
        <x:v>C27</x:v>
      </x:c>
      <x:c r="B28" s="2" t="str">
        <x:v>CPG/FMCG/beauty</x:v>
      </x:c>
      <x:c r="C28" s="9" t="str">
        <x:v>Shiseido</x:v>
      </x:c>
      <x:c r="D28" s="8" t="n">
        <x:f>SUMIFS('Вакансии'!$K$2:$K$109,'Вакансии'!$B$2:$B$109,$A28)</x:f>
        <x:v>0</x:v>
      </x:c>
      <x:c r="E28" s="8" t="n">
        <x:f>SUMIFS('Вакансии'!$L$2:$L$109,'Вакансии'!$B$2:$B$109,$A28)</x:f>
        <x:v>0</x:v>
      </x:c>
      <x:c r="F28" s="8" t="n">
        <x:f>SUMIFS('Вакансии'!$M$2:$M$109,'Вакансии'!$B$2:$B$109,$A28)</x:f>
        <x:v>0</x:v>
      </x:c>
      <x:c r="G28" s="8" t="n">
        <x:f>COUNTIFS('Вакансии'!$B$2:$B$109,$A28)</x:f>
        <x:v>0</x:v>
      </x:c>
      <x:c r="H28" s="9" t="str">
        <x:v>Проверенных упоминаний не найдено</x:v>
      </x:c>
      <x:c r="I28" s="9" t="str">
        <x:v>Shiseido Company|Shiseido Americas</x:v>
      </x:c>
      <x:c r="J28" s="9" t="str">
        <x:v>Beauty</x:v>
      </x:c>
      <x:c r="K28" s="9" t="str">
        <x:v>Employer group; time-sensitive subsidiary attribution</x:v>
      </x:c>
      <x:c r="L28" s="9" t="str">
        <x:v>Parent employer and verified operating subsidiaries</x:v>
      </x:c>
      <x:c r="M28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29" ht="64" customHeight="1">
      <x:c r="A29" s="2" t="str">
        <x:v>C28</x:v>
      </x:c>
      <x:c r="B29" s="2" t="str">
        <x:v>CPG/FMCG/beauty</x:v>
      </x:c>
      <x:c r="C29" s="9" t="str">
        <x:v>Coty</x:v>
      </x:c>
      <x:c r="D29" s="8" t="n">
        <x:f>SUMIFS('Вакансии'!$K$2:$K$109,'Вакансии'!$B$2:$B$109,$A29)</x:f>
        <x:v>0</x:v>
      </x:c>
      <x:c r="E29" s="8" t="n">
        <x:f>SUMIFS('Вакансии'!$L$2:$L$109,'Вакансии'!$B$2:$B$109,$A29)</x:f>
        <x:v>1</x:v>
      </x:c>
      <x:c r="F29" s="8" t="n">
        <x:f>SUMIFS('Вакансии'!$M$2:$M$109,'Вакансии'!$B$2:$B$109,$A29)</x:f>
        <x:v>1</x:v>
      </x:c>
      <x:c r="G29" s="8" t="n">
        <x:f>COUNTIFS('Вакансии'!$B$2:$B$109,$A29)</x:f>
        <x:v>1</x:v>
      </x:c>
      <x:c r="H29" s="9" t="str">
        <x:v>Найдены проверенные упоминания</x:v>
      </x:c>
      <x:c r="I29" s="9" t="str">
        <x:v>Coty Inc</x:v>
      </x:c>
      <x:c r="J29" s="9" t="str">
        <x:v>Beauty</x:v>
      </x:c>
      <x:c r="K29" s="9" t="str">
        <x:v>Employer group; time-sensitive subsidiary attribution</x:v>
      </x:c>
      <x:c r="L29" s="9" t="str">
        <x:v>Parent employer and verified operating subsidiaries</x:v>
      </x:c>
      <x:c r="M29" s="9" t="str">
        <x:v>Higgsfield: Проверенных упоминаний в основном корпусе не найдено; Runway: 1 вакансий в основном корпусе; Firefly: 1 вакансий в основном корпусе</x:v>
      </x:c>
    </x:row>
    <x:row r="30" ht="64" customHeight="1">
      <x:c r="A30" s="2" t="str">
        <x:v>C29</x:v>
      </x:c>
      <x:c r="B30" s="2" t="str">
        <x:v>CPG/FMCG/beauty</x:v>
      </x:c>
      <x:c r="C30" s="9" t="str">
        <x:v>Kao</x:v>
      </x:c>
      <x:c r="D30" s="8" t="n">
        <x:f>SUMIFS('Вакансии'!$K$2:$K$109,'Вакансии'!$B$2:$B$109,$A30)</x:f>
        <x:v>0</x:v>
      </x:c>
      <x:c r="E30" s="8" t="n">
        <x:f>SUMIFS('Вакансии'!$L$2:$L$109,'Вакансии'!$B$2:$B$109,$A30)</x:f>
        <x:v>0</x:v>
      </x:c>
      <x:c r="F30" s="8" t="n">
        <x:f>SUMIFS('Вакансии'!$M$2:$M$109,'Вакансии'!$B$2:$B$109,$A30)</x:f>
        <x:v>0</x:v>
      </x:c>
      <x:c r="G30" s="8" t="n">
        <x:f>COUNTIFS('Вакансии'!$B$2:$B$109,$A30)</x:f>
        <x:v>0</x:v>
      </x:c>
      <x:c r="H30" s="9" t="str">
        <x:v>Проверенных упоминаний не найдено</x:v>
      </x:c>
      <x:c r="I30" s="9" t="str">
        <x:v>Kao Corporation|Kao USA</x:v>
      </x:c>
      <x:c r="J30" s="9" t="str">
        <x:v>Beauty/household/personal care</x:v>
      </x:c>
      <x:c r="K30" s="9" t="str">
        <x:v>Employer group; time-sensitive subsidiary attribution</x:v>
      </x:c>
      <x:c r="L30" s="9" t="str">
        <x:v>Parent employer and verified operating subsidiaries</x:v>
      </x:c>
      <x:c r="M30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31" ht="64" customHeight="1">
      <x:c r="A31" s="2" t="str">
        <x:v>C30</x:v>
      </x:c>
      <x:c r="B31" s="2" t="str">
        <x:v>CPG/FMCG/beauty</x:v>
      </x:c>
      <x:c r="C31" s="9" t="str">
        <x:v>Kenvue</x:v>
      </x:c>
      <x:c r="D31" s="8" t="n">
        <x:f>SUMIFS('Вакансии'!$K$2:$K$109,'Вакансии'!$B$2:$B$109,$A31)</x:f>
        <x:v>0</x:v>
      </x:c>
      <x:c r="E31" s="8" t="n">
        <x:f>SUMIFS('Вакансии'!$L$2:$L$109,'Вакансии'!$B$2:$B$109,$A31)</x:f>
        <x:v>0</x:v>
      </x:c>
      <x:c r="F31" s="8" t="n">
        <x:f>SUMIFS('Вакансии'!$M$2:$M$109,'Вакансии'!$B$2:$B$109,$A31)</x:f>
        <x:v>0</x:v>
      </x:c>
      <x:c r="G31" s="8" t="n">
        <x:f>COUNTIFS('Вакансии'!$B$2:$B$109,$A31)</x:f>
        <x:v>0</x:v>
      </x:c>
      <x:c r="H31" s="9" t="str">
        <x:v>Проверенных упоминаний не найдено</x:v>
      </x:c>
      <x:c r="I31" s="9" t="str">
        <x:v>Kenvue Inc|Johnson &amp; Johnson Consumer Health</x:v>
      </x:c>
      <x:c r="J31" s="9" t="str">
        <x:v>Consumer health/personal care</x:v>
      </x:c>
      <x:c r="K31" s="9" t="str">
        <x:v>Employer group; time-sensitive subsidiary attribution</x:v>
      </x:c>
      <x:c r="L31" s="9" t="str">
        <x:v>Separate from Kimberly-Clark at cutoff; historical J&amp;J ads require consumer-unit evidence</x:v>
      </x:c>
      <x:c r="M31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32" ht="64" customHeight="1">
      <x:c r="A32" s="2" t="str">
        <x:v>C31</x:v>
      </x:c>
      <x:c r="B32" s="2" t="str">
        <x:v>CPG/FMCG/beauty</x:v>
      </x:c>
      <x:c r="C32" s="9" t="str">
        <x:v>Haleon</x:v>
      </x:c>
      <x:c r="D32" s="8" t="n">
        <x:f>SUMIFS('Вакансии'!$K$2:$K$109,'Вакансии'!$B$2:$B$109,$A32)</x:f>
        <x:v>0</x:v>
      </x:c>
      <x:c r="E32" s="8" t="n">
        <x:f>SUMIFS('Вакансии'!$L$2:$L$109,'Вакансии'!$B$2:$B$109,$A32)</x:f>
        <x:v>0</x:v>
      </x:c>
      <x:c r="F32" s="8" t="n">
        <x:f>SUMIFS('Вакансии'!$M$2:$M$109,'Вакансии'!$B$2:$B$109,$A32)</x:f>
        <x:v>0</x:v>
      </x:c>
      <x:c r="G32" s="8" t="n">
        <x:f>COUNTIFS('Вакансии'!$B$2:$B$109,$A32)</x:f>
        <x:v>0</x:v>
      </x:c>
      <x:c r="H32" s="9" t="str">
        <x:v>Проверенных упоминаний не найдено</x:v>
      </x:c>
      <x:c r="I32" s="9" t="str">
        <x:v>Haleon PLC|GSK Consumer Healthcare</x:v>
      </x:c>
      <x:c r="J32" s="9" t="str">
        <x:v>Consumer health</x:v>
      </x:c>
      <x:c r="K32" s="9" t="str">
        <x:v>Employer group; time-sensitive subsidiary attribution</x:v>
      </x:c>
      <x:c r="L32" s="9" t="str">
        <x:v>Historical GSK ads require consumer-health unit evidence</x:v>
      </x:c>
      <x:c r="M32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33" ht="64" customHeight="1">
      <x:c r="A33" s="2" t="str">
        <x:v>C32</x:v>
      </x:c>
      <x:c r="B33" s="2" t="str">
        <x:v>CPG/FMCG/beauty</x:v>
      </x:c>
      <x:c r="C33" s="9" t="str">
        <x:v>Clorox</x:v>
      </x:c>
      <x:c r="D33" s="8" t="n">
        <x:f>SUMIFS('Вакансии'!$K$2:$K$109,'Вакансии'!$B$2:$B$109,$A33)</x:f>
        <x:v>0</x:v>
      </x:c>
      <x:c r="E33" s="8" t="n">
        <x:f>SUMIFS('Вакансии'!$L$2:$L$109,'Вакансии'!$B$2:$B$109,$A33)</x:f>
        <x:v>0</x:v>
      </x:c>
      <x:c r="F33" s="8" t="n">
        <x:f>SUMIFS('Вакансии'!$M$2:$M$109,'Вакансии'!$B$2:$B$109,$A33)</x:f>
        <x:v>0</x:v>
      </x:c>
      <x:c r="G33" s="8" t="n">
        <x:f>COUNTIFS('Вакансии'!$B$2:$B$109,$A33)</x:f>
        <x:v>0</x:v>
      </x:c>
      <x:c r="H33" s="9" t="str">
        <x:v>Проверенных упоминаний не найдено</x:v>
      </x:c>
      <x:c r="I33" s="9" t="str">
        <x:v>The Clorox Company</x:v>
      </x:c>
      <x:c r="J33" s="9" t="str">
        <x:v>Household/personal care</x:v>
      </x:c>
      <x:c r="K33" s="9" t="str">
        <x:v>Employer group; time-sensitive subsidiary attribution</x:v>
      </x:c>
      <x:c r="L33" s="9" t="str">
        <x:v>Parent employer and verified operating subsidiaries</x:v>
      </x:c>
      <x:c r="M33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34" ht="64" customHeight="1">
      <x:c r="A34" s="2" t="str">
        <x:v>C33</x:v>
      </x:c>
      <x:c r="B34" s="2" t="str">
        <x:v>CPG/FMCG/beauty</x:v>
      </x:c>
      <x:c r="C34" s="9" t="str">
        <x:v>Church &amp; Dwight</x:v>
      </x:c>
      <x:c r="D34" s="8" t="n">
        <x:f>SUMIFS('Вакансии'!$K$2:$K$109,'Вакансии'!$B$2:$B$109,$A34)</x:f>
        <x:v>0</x:v>
      </x:c>
      <x:c r="E34" s="8" t="n">
        <x:f>SUMIFS('Вакансии'!$L$2:$L$109,'Вакансии'!$B$2:$B$109,$A34)</x:f>
        <x:v>0</x:v>
      </x:c>
      <x:c r="F34" s="8" t="n">
        <x:f>SUMIFS('Вакансии'!$M$2:$M$109,'Вакансии'!$B$2:$B$109,$A34)</x:f>
        <x:v>1</x:v>
      </x:c>
      <x:c r="G34" s="8" t="n">
        <x:f>COUNTIFS('Вакансии'!$B$2:$B$109,$A34)</x:f>
        <x:v>1</x:v>
      </x:c>
      <x:c r="H34" s="9" t="str">
        <x:v>Найдены проверенные упоминания</x:v>
      </x:c>
      <x:c r="I34" s="9" t="str">
        <x:v>Church and Dwight|Church &amp; Dwight Co</x:v>
      </x:c>
      <x:c r="J34" s="9" t="str">
        <x:v>Household/personal care</x:v>
      </x:c>
      <x:c r="K34" s="9" t="str">
        <x:v>Employer group; time-sensitive subsidiary attribution</x:v>
      </x:c>
      <x:c r="L34" s="9" t="str">
        <x:v>Parent employer and verified operating subsidiaries</x:v>
      </x:c>
      <x:c r="M34" s="9" t="str">
        <x:v>Higgsfield: Проверенных упоминаний в основном корпусе не найдено; Runway: Проверенных упоминаний в основном корпусе не найдено; Firefly: 1 вакансий в основном корпусе</x:v>
      </x:c>
    </x:row>
    <x:row r="35" ht="64" customHeight="1">
      <x:c r="A35" s="2" t="str">
        <x:v>C34</x:v>
      </x:c>
      <x:c r="B35" s="2" t="str">
        <x:v>CPG/FMCG/beauty</x:v>
      </x:c>
      <x:c r="C35" s="9" t="str">
        <x:v>SC Johnson</x:v>
      </x:c>
      <x:c r="D35" s="8" t="n">
        <x:f>SUMIFS('Вакансии'!$K$2:$K$109,'Вакансии'!$B$2:$B$109,$A35)</x:f>
        <x:v>0</x:v>
      </x:c>
      <x:c r="E35" s="8" t="n">
        <x:f>SUMIFS('Вакансии'!$L$2:$L$109,'Вакансии'!$B$2:$B$109,$A35)</x:f>
        <x:v>0</x:v>
      </x:c>
      <x:c r="F35" s="8" t="n">
        <x:f>SUMIFS('Вакансии'!$M$2:$M$109,'Вакансии'!$B$2:$B$109,$A35)</x:f>
        <x:v>0</x:v>
      </x:c>
      <x:c r="G35" s="8" t="n">
        <x:f>COUNTIFS('Вакансии'!$B$2:$B$109,$A35)</x:f>
        <x:v>0</x:v>
      </x:c>
      <x:c r="H35" s="9" t="str">
        <x:v>Проверенных упоминаний не найдено</x:v>
      </x:c>
      <x:c r="I35" s="9" t="str">
        <x:v>S. C. Johnson &amp; Son|S.C. Johnson|SC Johnson &amp; Son</x:v>
      </x:c>
      <x:c r="J35" s="9" t="str">
        <x:v>Household</x:v>
      </x:c>
      <x:c r="K35" s="9" t="str">
        <x:v>Employer group; time-sensitive subsidiary attribution</x:v>
      </x:c>
      <x:c r="L35" s="9" t="str">
        <x:v>Do not confuse with Johnson &amp; Johnson or unrelated Johnson companies</x:v>
      </x:c>
      <x:c r="M35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36" ht="64" customHeight="1">
      <x:c r="A36" s="2" t="str">
        <x:v>C35</x:v>
      </x:c>
      <x:c r="B36" s="2" t="str">
        <x:v>CPG/FMCG/beauty</x:v>
      </x:c>
      <x:c r="C36" s="9" t="str">
        <x:v>Yili</x:v>
      </x:c>
      <x:c r="D36" s="8" t="n">
        <x:f>SUMIFS('Вакансии'!$K$2:$K$109,'Вакансии'!$B$2:$B$109,$A36)</x:f>
        <x:v>0</x:v>
      </x:c>
      <x:c r="E36" s="8" t="n">
        <x:f>SUMIFS('Вакансии'!$L$2:$L$109,'Вакансии'!$B$2:$B$109,$A36)</x:f>
        <x:v>0</x:v>
      </x:c>
      <x:c r="F36" s="8" t="n">
        <x:f>SUMIFS('Вакансии'!$M$2:$M$109,'Вакансии'!$B$2:$B$109,$A36)</x:f>
        <x:v>0</x:v>
      </x:c>
      <x:c r="G36" s="8" t="n">
        <x:f>COUNTIFS('Вакансии'!$B$2:$B$109,$A36)</x:f>
        <x:v>0</x:v>
      </x:c>
      <x:c r="H36" s="9" t="str">
        <x:v>Проверенных упоминаний не найдено</x:v>
      </x:c>
      <x:c r="I36" s="9" t="str">
        <x:v>Inner Mongolia Yili Industrial Group|伊利</x:v>
      </x:c>
      <x:c r="J36" s="9" t="str">
        <x:v>Dairy</x:v>
      </x:c>
      <x:c r="K36" s="9" t="str">
        <x:v>Employer group; time-sensitive subsidiary attribution</x:v>
      </x:c>
      <x:c r="L36" s="9" t="str">
        <x:v>Parent employer and verified operating subsidiaries</x:v>
      </x:c>
      <x:c r="M36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37" ht="64" customHeight="1">
      <x:c r="A37" s="2" t="str">
        <x:v>C36</x:v>
      </x:c>
      <x:c r="B37" s="2" t="str">
        <x:v>CPG/FMCG/beauty</x:v>
      </x:c>
      <x:c r="C37" s="9" t="str">
        <x:v>Mengniu</x:v>
      </x:c>
      <x:c r="D37" s="8" t="n">
        <x:f>SUMIFS('Вакансии'!$K$2:$K$109,'Вакансии'!$B$2:$B$109,$A37)</x:f>
        <x:v>0</x:v>
      </x:c>
      <x:c r="E37" s="8" t="n">
        <x:f>SUMIFS('Вакансии'!$L$2:$L$109,'Вакансии'!$B$2:$B$109,$A37)</x:f>
        <x:v>0</x:v>
      </x:c>
      <x:c r="F37" s="8" t="n">
        <x:f>SUMIFS('Вакансии'!$M$2:$M$109,'Вакансии'!$B$2:$B$109,$A37)</x:f>
        <x:v>0</x:v>
      </x:c>
      <x:c r="G37" s="8" t="n">
        <x:f>COUNTIFS('Вакансии'!$B$2:$B$109,$A37)</x:f>
        <x:v>0</x:v>
      </x:c>
      <x:c r="H37" s="9" t="str">
        <x:v>Проверенных упоминаний не найдено</x:v>
      </x:c>
      <x:c r="I37" s="9" t="str">
        <x:v>China Mengniu Dairy|蒙牛</x:v>
      </x:c>
      <x:c r="J37" s="9" t="str">
        <x:v>Dairy</x:v>
      </x:c>
      <x:c r="K37" s="9" t="str">
        <x:v>Employer group; time-sensitive subsidiary attribution</x:v>
      </x:c>
      <x:c r="L37" s="9" t="str">
        <x:v>Parent employer and verified operating subsidiaries</x:v>
      </x:c>
      <x:c r="M37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38" ht="64" customHeight="1">
      <x:c r="A38" s="2" t="str">
        <x:v>C37</x:v>
      </x:c>
      <x:c r="B38" s="2" t="str">
        <x:v>CPG/FMCG/beauty</x:v>
      </x:c>
      <x:c r="C38" s="9" t="str">
        <x:v>Lactalis</x:v>
      </x:c>
      <x:c r="D38" s="8" t="n">
        <x:f>SUMIFS('Вакансии'!$K$2:$K$109,'Вакансии'!$B$2:$B$109,$A38)</x:f>
        <x:v>0</x:v>
      </x:c>
      <x:c r="E38" s="8" t="n">
        <x:f>SUMIFS('Вакансии'!$L$2:$L$109,'Вакансии'!$B$2:$B$109,$A38)</x:f>
        <x:v>0</x:v>
      </x:c>
      <x:c r="F38" s="8" t="n">
        <x:f>SUMIFS('Вакансии'!$M$2:$M$109,'Вакансии'!$B$2:$B$109,$A38)</x:f>
        <x:v>0</x:v>
      </x:c>
      <x:c r="G38" s="8" t="n">
        <x:f>COUNTIFS('Вакансии'!$B$2:$B$109,$A38)</x:f>
        <x:v>0</x:v>
      </x:c>
      <x:c r="H38" s="9" t="str">
        <x:v>Проверенных упоминаний не найдено</x:v>
      </x:c>
      <x:c r="I38" s="9" t="str">
        <x:v>Groupe Lactalis|Lactalis Group</x:v>
      </x:c>
      <x:c r="J38" s="9" t="str">
        <x:v>Dairy</x:v>
      </x:c>
      <x:c r="K38" s="9" t="str">
        <x:v>Employer group; time-sensitive subsidiary attribution</x:v>
      </x:c>
      <x:c r="L38" s="9" t="str">
        <x:v>Mainland consumer business transferred from Fonterra March 2026; no double attribution</x:v>
      </x:c>
      <x:c r="M38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39" ht="64" customHeight="1">
      <x:c r="A39" s="2" t="str">
        <x:v>C38</x:v>
      </x:c>
      <x:c r="B39" s="2" t="str">
        <x:v>CPG/FMCG/beauty</x:v>
      </x:c>
      <x:c r="C39" s="9" t="str">
        <x:v>Fonterra</x:v>
      </x:c>
      <x:c r="D39" s="8" t="n">
        <x:f>SUMIFS('Вакансии'!$K$2:$K$109,'Вакансии'!$B$2:$B$109,$A39)</x:f>
        <x:v>0</x:v>
      </x:c>
      <x:c r="E39" s="8" t="n">
        <x:f>SUMIFS('Вакансии'!$L$2:$L$109,'Вакансии'!$B$2:$B$109,$A39)</x:f>
        <x:v>0</x:v>
      </x:c>
      <x:c r="F39" s="8" t="n">
        <x:f>SUMIFS('Вакансии'!$M$2:$M$109,'Вакансии'!$B$2:$B$109,$A39)</x:f>
        <x:v>0</x:v>
      </x:c>
      <x:c r="G39" s="8" t="n">
        <x:f>COUNTIFS('Вакансии'!$B$2:$B$109,$A39)</x:f>
        <x:v>0</x:v>
      </x:c>
      <x:c r="H39" s="9" t="str">
        <x:v>Проверенных упоминаний не найдено</x:v>
      </x:c>
      <x:c r="I39" s="9" t="str">
        <x:v>Fonterra Co-operative Group</x:v>
      </x:c>
      <x:c r="J39" s="9" t="str">
        <x:v>Dairy</x:v>
      </x:c>
      <x:c r="K39" s="9" t="str">
        <x:v>Employer group; time-sensitive subsidiary attribution</x:v>
      </x:c>
      <x:c r="L39" s="9" t="str">
        <x:v>Includes historical Fonterra consumer-employer jobs; Mainland transfer to Lactalis March 2026 requires posting-date attribution</x:v>
      </x:c>
      <x:c r="M39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40" ht="64" customHeight="1">
      <x:c r="A40" s="2" t="str">
        <x:v>C39</x:v>
      </x:c>
      <x:c r="B40" s="2" t="str">
        <x:v>CPG/FMCG/beauty</x:v>
      </x:c>
      <x:c r="C40" s="9" t="str">
        <x:v>FrieslandCampina</x:v>
      </x:c>
      <x:c r="D40" s="8" t="n">
        <x:f>SUMIFS('Вакансии'!$K$2:$K$109,'Вакансии'!$B$2:$B$109,$A40)</x:f>
        <x:v>0</x:v>
      </x:c>
      <x:c r="E40" s="8" t="n">
        <x:f>SUMIFS('Вакансии'!$L$2:$L$109,'Вакансии'!$B$2:$B$109,$A40)</x:f>
        <x:v>0</x:v>
      </x:c>
      <x:c r="F40" s="8" t="n">
        <x:f>SUMIFS('Вакансии'!$M$2:$M$109,'Вакансии'!$B$2:$B$109,$A40)</x:f>
        <x:v>0</x:v>
      </x:c>
      <x:c r="G40" s="8" t="n">
        <x:f>COUNTIFS('Вакансии'!$B$2:$B$109,$A40)</x:f>
        <x:v>0</x:v>
      </x:c>
      <x:c r="H40" s="9" t="str">
        <x:v>Проверенных упоминаний не найдено</x:v>
      </x:c>
      <x:c r="I40" s="9" t="str">
        <x:v>Royal FrieslandCampina|Friesland Campina</x:v>
      </x:c>
      <x:c r="J40" s="9" t="str">
        <x:v>Dairy</x:v>
      </x:c>
      <x:c r="K40" s="9" t="str">
        <x:v>Employer group; time-sensitive subsidiary attribution</x:v>
      </x:c>
      <x:c r="L40" s="9" t="str">
        <x:v>Parent employer and verified operating subsidiaries</x:v>
      </x:c>
      <x:c r="M40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41" ht="64" customHeight="1">
      <x:c r="A41" s="2" t="str">
        <x:v>C40</x:v>
      </x:c>
      <x:c r="B41" s="2" t="str">
        <x:v>CPG/FMCG/beauty</x:v>
      </x:c>
      <x:c r="C41" s="9" t="str">
        <x:v>Arla Foods</x:v>
      </x:c>
      <x:c r="D41" s="8" t="n">
        <x:f>SUMIFS('Вакансии'!$K$2:$K$109,'Вакансии'!$B$2:$B$109,$A41)</x:f>
        <x:v>0</x:v>
      </x:c>
      <x:c r="E41" s="8" t="n">
        <x:f>SUMIFS('Вакансии'!$L$2:$L$109,'Вакансии'!$B$2:$B$109,$A41)</x:f>
        <x:v>0</x:v>
      </x:c>
      <x:c r="F41" s="8" t="n">
        <x:f>SUMIFS('Вакансии'!$M$2:$M$109,'Вакансии'!$B$2:$B$109,$A41)</x:f>
        <x:v>0</x:v>
      </x:c>
      <x:c r="G41" s="8" t="n">
        <x:f>COUNTIFS('Вакансии'!$B$2:$B$109,$A41)</x:f>
        <x:v>0</x:v>
      </x:c>
      <x:c r="H41" s="9" t="str">
        <x:v>Проверенных упоминаний не найдено</x:v>
      </x:c>
      <x:c r="I41" s="9" t="str">
        <x:v>Arla Foods amba|Arla</x:v>
      </x:c>
      <x:c r="J41" s="9" t="str">
        <x:v>Dairy</x:v>
      </x:c>
      <x:c r="K41" s="9" t="str">
        <x:v>Employer group; time-sensitive subsidiary attribution</x:v>
      </x:c>
      <x:c r="L41" s="9" t="str">
        <x:v>Parent employer and verified operating subsidiaries</x:v>
      </x:c>
      <x:c r="M41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42" ht="64" customHeight="1">
      <x:c r="A42" s="2" t="str">
        <x:v>C41</x:v>
      </x:c>
      <x:c r="B42" s="2" t="str">
        <x:v>CPG/FMCG/beauty</x:v>
      </x:c>
      <x:c r="C42" s="9" t="str">
        <x:v>Saputo</x:v>
      </x:c>
      <x:c r="D42" s="8" t="n">
        <x:f>SUMIFS('Вакансии'!$K$2:$K$109,'Вакансии'!$B$2:$B$109,$A42)</x:f>
        <x:v>0</x:v>
      </x:c>
      <x:c r="E42" s="8" t="n">
        <x:f>SUMIFS('Вакансии'!$L$2:$L$109,'Вакансии'!$B$2:$B$109,$A42)</x:f>
        <x:v>0</x:v>
      </x:c>
      <x:c r="F42" s="8" t="n">
        <x:f>SUMIFS('Вакансии'!$M$2:$M$109,'Вакансии'!$B$2:$B$109,$A42)</x:f>
        <x:v>0</x:v>
      </x:c>
      <x:c r="G42" s="8" t="n">
        <x:f>COUNTIFS('Вакансии'!$B$2:$B$109,$A42)</x:f>
        <x:v>0</x:v>
      </x:c>
      <x:c r="H42" s="9" t="str">
        <x:v>Проверенных упоминаний не найдено</x:v>
      </x:c>
      <x:c r="I42" s="9" t="str">
        <x:v>Saputo Inc</x:v>
      </x:c>
      <x:c r="J42" s="9" t="str">
        <x:v>Dairy</x:v>
      </x:c>
      <x:c r="K42" s="9" t="str">
        <x:v>Employer group; time-sensitive subsidiary attribution</x:v>
      </x:c>
      <x:c r="L42" s="9" t="str">
        <x:v>Parent employer and verified operating subsidiaries</x:v>
      </x:c>
      <x:c r="M42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43" ht="64" customHeight="1">
      <x:c r="A43" s="2" t="str">
        <x:v>C42</x:v>
      </x:c>
      <x:c r="B43" s="2" t="str">
        <x:v>CPG/FMCG/beauty</x:v>
      </x:c>
      <x:c r="C43" s="9" t="str">
        <x:v>JBS</x:v>
      </x:c>
      <x:c r="D43" s="8" t="n">
        <x:f>SUMIFS('Вакансии'!$K$2:$K$109,'Вакансии'!$B$2:$B$109,$A43)</x:f>
        <x:v>0</x:v>
      </x:c>
      <x:c r="E43" s="8" t="n">
        <x:f>SUMIFS('Вакансии'!$L$2:$L$109,'Вакансии'!$B$2:$B$109,$A43)</x:f>
        <x:v>0</x:v>
      </x:c>
      <x:c r="F43" s="8" t="n">
        <x:f>SUMIFS('Вакансии'!$M$2:$M$109,'Вакансии'!$B$2:$B$109,$A43)</x:f>
        <x:v>0</x:v>
      </x:c>
      <x:c r="G43" s="8" t="n">
        <x:f>COUNTIFS('Вакансии'!$B$2:$B$109,$A43)</x:f>
        <x:v>0</x:v>
      </x:c>
      <x:c r="H43" s="9" t="str">
        <x:v>Проверенных упоминаний не найдено</x:v>
      </x:c>
      <x:c r="I43" s="9" t="str">
        <x:v>JBS S.A.|JBS USA</x:v>
      </x:c>
      <x:c r="J43" s="9" t="str">
        <x:v>Food/protein</x:v>
      </x:c>
      <x:c r="K43" s="9" t="str">
        <x:v>Employer group; time-sensitive subsidiary attribution</x:v>
      </x:c>
      <x:c r="L43" s="9" t="str">
        <x:v>Parent employer and verified operating subsidiaries; require disambiguation for JBS</x:v>
      </x:c>
      <x:c r="M43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44" ht="64" customHeight="1">
      <x:c r="A44" s="2" t="str">
        <x:v>C43</x:v>
      </x:c>
      <x:c r="B44" s="2" t="str">
        <x:v>CPG/FMCG/beauty</x:v>
      </x:c>
      <x:c r="C44" s="9" t="str">
        <x:v>Tyson Foods</x:v>
      </x:c>
      <x:c r="D44" s="8" t="n">
        <x:f>SUMIFS('Вакансии'!$K$2:$K$109,'Вакансии'!$B$2:$B$109,$A44)</x:f>
        <x:v>0</x:v>
      </x:c>
      <x:c r="E44" s="8" t="n">
        <x:f>SUMIFS('Вакансии'!$L$2:$L$109,'Вакансии'!$B$2:$B$109,$A44)</x:f>
        <x:v>0</x:v>
      </x:c>
      <x:c r="F44" s="8" t="n">
        <x:f>SUMIFS('Вакансии'!$M$2:$M$109,'Вакансии'!$B$2:$B$109,$A44)</x:f>
        <x:v>1</x:v>
      </x:c>
      <x:c r="G44" s="8" t="n">
        <x:f>COUNTIFS('Вакансии'!$B$2:$B$109,$A44)</x:f>
        <x:v>1</x:v>
      </x:c>
      <x:c r="H44" s="9" t="str">
        <x:v>Найдены проверенные упоминания</x:v>
      </x:c>
      <x:c r="I44" s="9" t="str">
        <x:v>Tyson Foods Inc</x:v>
      </x:c>
      <x:c r="J44" s="9" t="str">
        <x:v>Food/protein</x:v>
      </x:c>
      <x:c r="K44" s="9" t="str">
        <x:v>Employer group; time-sensitive subsidiary attribution</x:v>
      </x:c>
      <x:c r="L44" s="9" t="str">
        <x:v>Parent employer and verified operating subsidiaries</x:v>
      </x:c>
      <x:c r="M44" s="9" t="str">
        <x:v>Higgsfield: Проверенных упоминаний в основном корпусе не найдено; Runway: Проверенных упоминаний в основном корпусе не найдено; Firefly: 1 вакансий в основном корпусе</x:v>
      </x:c>
    </x:row>
    <x:row r="45" ht="64" customHeight="1">
      <x:c r="A45" s="2" t="str">
        <x:v>C44</x:v>
      </x:c>
      <x:c r="B45" s="2" t="str">
        <x:v>CPG/FMCG/beauty</x:v>
      </x:c>
      <x:c r="C45" s="9" t="str">
        <x:v>WH Group</x:v>
      </x:c>
      <x:c r="D45" s="8" t="n">
        <x:f>SUMIFS('Вакансии'!$K$2:$K$109,'Вакансии'!$B$2:$B$109,$A45)</x:f>
        <x:v>0</x:v>
      </x:c>
      <x:c r="E45" s="8" t="n">
        <x:f>SUMIFS('Вакансии'!$L$2:$L$109,'Вакансии'!$B$2:$B$109,$A45)</x:f>
        <x:v>0</x:v>
      </x:c>
      <x:c r="F45" s="8" t="n">
        <x:f>SUMIFS('Вакансии'!$M$2:$M$109,'Вакансии'!$B$2:$B$109,$A45)</x:f>
        <x:v>0</x:v>
      </x:c>
      <x:c r="G45" s="8" t="n">
        <x:f>COUNTIFS('Вакансии'!$B$2:$B$109,$A45)</x:f>
        <x:v>0</x:v>
      </x:c>
      <x:c r="H45" s="9" t="str">
        <x:v>Проверенных упоминаний не найдено</x:v>
      </x:c>
      <x:c r="I45" s="9" t="str">
        <x:v>WH Group Limited|Smithfield Foods</x:v>
      </x:c>
      <x:c r="J45" s="9" t="str">
        <x:v>Food/protein</x:v>
      </x:c>
      <x:c r="K45" s="9" t="str">
        <x:v>Employer group; time-sensitive subsidiary attribution</x:v>
      </x:c>
      <x:c r="L45" s="9" t="str">
        <x:v>Verify employer/subsidiary at posting; no separate Smithfield sample row</x:v>
      </x:c>
      <x:c r="M45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46" ht="64" customHeight="1">
      <x:c r="A46" s="2" t="str">
        <x:v>C45</x:v>
      </x:c>
      <x:c r="B46" s="2" t="str">
        <x:v>CPG/FMCG/beauty</x:v>
      </x:c>
      <x:c r="C46" s="9" t="str">
        <x:v>The Campbell’s Company</x:v>
      </x:c>
      <x:c r="D46" s="8" t="n">
        <x:f>SUMIFS('Вакансии'!$K$2:$K$109,'Вакансии'!$B$2:$B$109,$A46)</x:f>
        <x:v>0</x:v>
      </x:c>
      <x:c r="E46" s="8" t="n">
        <x:f>SUMIFS('Вакансии'!$L$2:$L$109,'Вакансии'!$B$2:$B$109,$A46)</x:f>
        <x:v>0</x:v>
      </x:c>
      <x:c r="F46" s="8" t="n">
        <x:f>SUMIFS('Вакансии'!$M$2:$M$109,'Вакансии'!$B$2:$B$109,$A46)</x:f>
        <x:v>0</x:v>
      </x:c>
      <x:c r="G46" s="8" t="n">
        <x:f>COUNTIFS('Вакансии'!$B$2:$B$109,$A46)</x:f>
        <x:v>0</x:v>
      </x:c>
      <x:c r="H46" s="9" t="str">
        <x:v>Проверенных упоминаний не найдено</x:v>
      </x:c>
      <x:c r="I46" s="9" t="str">
        <x:v>The Campbell's Company|Campbell Soup Company|Campbell Soup</x:v>
      </x:c>
      <x:c r="J46" s="9" t="str">
        <x:v>Food</x:v>
      </x:c>
      <x:c r="K46" s="9" t="str">
        <x:v>Employer group; time-sensitive subsidiary attribution</x:v>
      </x:c>
      <x:c r="L46" s="9" t="str">
        <x:v>Rename aliases; one company row</x:v>
      </x:c>
      <x:c r="M46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47" ht="64" customHeight="1">
      <x:c r="A47" s="2" t="str">
        <x:v>C46</x:v>
      </x:c>
      <x:c r="B47" s="2" t="str">
        <x:v>CPG/FMCG/beauty</x:v>
      </x:c>
      <x:c r="C47" s="9" t="str">
        <x:v>Hershey</x:v>
      </x:c>
      <x:c r="D47" s="8" t="n">
        <x:f>SUMIFS('Вакансии'!$K$2:$K$109,'Вакансии'!$B$2:$B$109,$A47)</x:f>
        <x:v>0</x:v>
      </x:c>
      <x:c r="E47" s="8" t="n">
        <x:f>SUMIFS('Вакансии'!$L$2:$L$109,'Вакансии'!$B$2:$B$109,$A47)</x:f>
        <x:v>0</x:v>
      </x:c>
      <x:c r="F47" s="8" t="n">
        <x:f>SUMIFS('Вакансии'!$M$2:$M$109,'Вакансии'!$B$2:$B$109,$A47)</x:f>
        <x:v>0</x:v>
      </x:c>
      <x:c r="G47" s="8" t="n">
        <x:f>COUNTIFS('Вакансии'!$B$2:$B$109,$A47)</x:f>
        <x:v>0</x:v>
      </x:c>
      <x:c r="H47" s="9" t="str">
        <x:v>Проверенных упоминаний не найдено</x:v>
      </x:c>
      <x:c r="I47" s="9" t="str">
        <x:v>The Hershey Company</x:v>
      </x:c>
      <x:c r="J47" s="9" t="str">
        <x:v>Food</x:v>
      </x:c>
      <x:c r="K47" s="9" t="str">
        <x:v>Employer group; time-sensitive subsidiary attribution</x:v>
      </x:c>
      <x:c r="L47" s="9" t="str">
        <x:v>Parent employer and verified operating subsidiaries</x:v>
      </x:c>
      <x:c r="M47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48" ht="64" customHeight="1">
      <x:c r="A48" s="2" t="str">
        <x:v>C47</x:v>
      </x:c>
      <x:c r="B48" s="2" t="str">
        <x:v>CPG/FMCG/beauty</x:v>
      </x:c>
      <x:c r="C48" s="9" t="str">
        <x:v>J.M. Smucker</x:v>
      </x:c>
      <x:c r="D48" s="8" t="n">
        <x:f>SUMIFS('Вакансии'!$K$2:$K$109,'Вакансии'!$B$2:$B$109,$A48)</x:f>
        <x:v>0</x:v>
      </x:c>
      <x:c r="E48" s="8" t="n">
        <x:f>SUMIFS('Вакансии'!$L$2:$L$109,'Вакансии'!$B$2:$B$109,$A48)</x:f>
        <x:v>0</x:v>
      </x:c>
      <x:c r="F48" s="8" t="n">
        <x:f>SUMIFS('Вакансии'!$M$2:$M$109,'Вакансии'!$B$2:$B$109,$A48)</x:f>
        <x:v>0</x:v>
      </x:c>
      <x:c r="G48" s="8" t="n">
        <x:f>COUNTIFS('Вакансии'!$B$2:$B$109,$A48)</x:f>
        <x:v>0</x:v>
      </x:c>
      <x:c r="H48" s="9" t="str">
        <x:v>Проверенных упоминаний не найдено</x:v>
      </x:c>
      <x:c r="I48" s="9" t="str">
        <x:v>The J.M. Smucker Company|JM Smucker|J M Smucker</x:v>
      </x:c>
      <x:c r="J48" s="9" t="str">
        <x:v>Food/petcare</x:v>
      </x:c>
      <x:c r="K48" s="9" t="str">
        <x:v>Employer group; time-sensitive subsidiary attribution</x:v>
      </x:c>
      <x:c r="L48" s="9" t="str">
        <x:v>Parent employer and verified operating subsidiaries</x:v>
      </x:c>
      <x:c r="M48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49" ht="64" customHeight="1">
      <x:c r="A49" s="2" t="str">
        <x:v>C48</x:v>
      </x:c>
      <x:c r="B49" s="2" t="str">
        <x:v>CPG/FMCG/beauty</x:v>
      </x:c>
      <x:c r="C49" s="9" t="str">
        <x:v>Conagra Brands</x:v>
      </x:c>
      <x:c r="D49" s="8" t="n">
        <x:f>SUMIFS('Вакансии'!$K$2:$K$109,'Вакансии'!$B$2:$B$109,$A49)</x:f>
        <x:v>0</x:v>
      </x:c>
      <x:c r="E49" s="8" t="n">
        <x:f>SUMIFS('Вакансии'!$L$2:$L$109,'Вакансии'!$B$2:$B$109,$A49)</x:f>
        <x:v>0</x:v>
      </x:c>
      <x:c r="F49" s="8" t="n">
        <x:f>SUMIFS('Вакансии'!$M$2:$M$109,'Вакансии'!$B$2:$B$109,$A49)</x:f>
        <x:v>1</x:v>
      </x:c>
      <x:c r="G49" s="8" t="n">
        <x:f>COUNTIFS('Вакансии'!$B$2:$B$109,$A49)</x:f>
        <x:v>1</x:v>
      </x:c>
      <x:c r="H49" s="9" t="str">
        <x:v>Найдены проверенные упоминания</x:v>
      </x:c>
      <x:c r="I49" s="9" t="str">
        <x:v>Conagra|ConAgra Foods</x:v>
      </x:c>
      <x:c r="J49" s="9" t="str">
        <x:v>Food</x:v>
      </x:c>
      <x:c r="K49" s="9" t="str">
        <x:v>Employer group; time-sensitive subsidiary attribution</x:v>
      </x:c>
      <x:c r="L49" s="9" t="str">
        <x:v>Parent employer and verified operating subsidiaries</x:v>
      </x:c>
      <x:c r="M49" s="9" t="str">
        <x:v>Higgsfield: Проверенных упоминаний в основном корпусе не найдено; Runway: Проверенных упоминаний в основном корпусе не найдено; Firefly: 1 вакансий в основном корпусе</x:v>
      </x:c>
    </x:row>
    <x:row r="50" ht="64" customHeight="1">
      <x:c r="A50" s="2" t="str">
        <x:v>C49</x:v>
      </x:c>
      <x:c r="B50" s="2" t="str">
        <x:v>CPG/FMCG/beauty</x:v>
      </x:c>
      <x:c r="C50" s="9" t="str">
        <x:v>McCormick</x:v>
      </x:c>
      <x:c r="D50" s="8" t="n">
        <x:f>SUMIFS('Вакансии'!$K$2:$K$109,'Вакансии'!$B$2:$B$109,$A50)</x:f>
        <x:v>0</x:v>
      </x:c>
      <x:c r="E50" s="8" t="n">
        <x:f>SUMIFS('Вакансии'!$L$2:$L$109,'Вакансии'!$B$2:$B$109,$A50)</x:f>
        <x:v>0</x:v>
      </x:c>
      <x:c r="F50" s="8" t="n">
        <x:f>SUMIFS('Вакансии'!$M$2:$M$109,'Вакансии'!$B$2:$B$109,$A50)</x:f>
        <x:v>0</x:v>
      </x:c>
      <x:c r="G50" s="8" t="n">
        <x:f>COUNTIFS('Вакансии'!$B$2:$B$109,$A50)</x:f>
        <x:v>0</x:v>
      </x:c>
      <x:c r="H50" s="9" t="str">
        <x:v>Проверенных упоминаний не найдено</x:v>
      </x:c>
      <x:c r="I50" s="9" t="str">
        <x:v>McCormick &amp; Company|McCormick and Company</x:v>
      </x:c>
      <x:c r="J50" s="9" t="str">
        <x:v>Food</x:v>
      </x:c>
      <x:c r="K50" s="9" t="str">
        <x:v>Employer group; time-sensitive subsidiary attribution</x:v>
      </x:c>
      <x:c r="L50" s="9" t="str">
        <x:v>Parent employer and verified operating subsidiaries</x:v>
      </x:c>
      <x:c r="M50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51" ht="64" customHeight="1">
      <x:c r="A51" s="2" t="str">
        <x:v>C50</x:v>
      </x:c>
      <x:c r="B51" s="2" t="str">
        <x:v>CPG/FMCG/beauty</x:v>
      </x:c>
      <x:c r="C51" s="9" t="str">
        <x:v>Grupo Bimbo</x:v>
      </x:c>
      <x:c r="D51" s="8" t="n">
        <x:f>SUMIFS('Вакансии'!$K$2:$K$109,'Вакансии'!$B$2:$B$109,$A51)</x:f>
        <x:v>0</x:v>
      </x:c>
      <x:c r="E51" s="8" t="n">
        <x:f>SUMIFS('Вакансии'!$L$2:$L$109,'Вакансии'!$B$2:$B$109,$A51)</x:f>
        <x:v>0</x:v>
      </x:c>
      <x:c r="F51" s="8" t="n">
        <x:f>SUMIFS('Вакансии'!$M$2:$M$109,'Вакансии'!$B$2:$B$109,$A51)</x:f>
        <x:v>0</x:v>
      </x:c>
      <x:c r="G51" s="8" t="n">
        <x:f>COUNTIFS('Вакансии'!$B$2:$B$109,$A51)</x:f>
        <x:v>0</x:v>
      </x:c>
      <x:c r="H51" s="9" t="str">
        <x:v>Проверенных упоминаний не найдено</x:v>
      </x:c>
      <x:c r="I51" s="9" t="str">
        <x:v>Bimbo|Bimbo Bakeries USA</x:v>
      </x:c>
      <x:c r="J51" s="9" t="str">
        <x:v>Food</x:v>
      </x:c>
      <x:c r="K51" s="9" t="str">
        <x:v>Employer group; time-sensitive subsidiary attribution</x:v>
      </x:c>
      <x:c r="L51" s="9" t="str">
        <x:v>Parent employer and verified operating subsidiaries</x:v>
      </x:c>
      <x:c r="M51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52" ht="64" customHeight="1">
      <x:c r="A52" s="2" t="str">
        <x:v>A01</x:v>
      </x:c>
      <x:c r="B52" s="2" t="str">
        <x:v>Агентства</x:v>
      </x:c>
      <x:c r="C52" s="9" t="str">
        <x:v>Ogilvy</x:v>
      </x:c>
      <x:c r="D52" s="8" t="n">
        <x:f>SUMIFS('Вакансии'!$K$2:$K$109,'Вакансии'!$B$2:$B$109,$A52)</x:f>
        <x:v>0</x:v>
      </x:c>
      <x:c r="E52" s="8" t="n">
        <x:f>SUMIFS('Вакансии'!$L$2:$L$109,'Вакансии'!$B$2:$B$109,$A52)</x:f>
        <x:v>2</x:v>
      </x:c>
      <x:c r="F52" s="8" t="n">
        <x:f>SUMIFS('Вакансии'!$M$2:$M$109,'Вакансии'!$B$2:$B$109,$A52)</x:f>
        <x:v>3</x:v>
      </x:c>
      <x:c r="G52" s="8" t="n">
        <x:f>COUNTIFS('Вакансии'!$B$2:$B$109,$A52)</x:f>
        <x:v>3</x:v>
      </x:c>
      <x:c r="H52" s="9" t="str">
        <x:v>Найдены проверенные упоминания</x:v>
      </x:c>
      <x:c r="I52" s="9" t="str">
        <x:v>Ogilvy &amp; Mather|OgilvyOne</x:v>
      </x:c>
      <x:c r="J52" s="9" t="str">
        <x:v>WPP</x:v>
      </x:c>
      <x:c r="K52" s="9" t="str">
        <x:v>Current/historical agency brand</x:v>
      </x:c>
      <x:c r="L52" s="9" t="str">
        <x:v>Exclude parent WPP-only ads unless explicitly Ogilvy</x:v>
      </x:c>
      <x:c r="M52" s="9" t="str">
        <x:v>Higgsfield: Проверенных упоминаний в основном корпусе не найдено; Runway: 2 вакансий в основном корпусе; 1 вне основного корпуса; Firefly: 3 вакансий в основном корпусе</x:v>
      </x:c>
    </x:row>
    <x:row r="53" ht="64" customHeight="1">
      <x:c r="A53" s="2" t="str">
        <x:v>A02</x:v>
      </x:c>
      <x:c r="B53" s="2" t="str">
        <x:v>Агентства</x:v>
      </x:c>
      <x:c r="C53" s="9" t="str">
        <x:v>VML</x:v>
      </x:c>
      <x:c r="D53" s="8" t="n">
        <x:f>SUMIFS('Вакансии'!$K$2:$K$109,'Вакансии'!$B$2:$B$109,$A53)</x:f>
        <x:v>1</x:v>
      </x:c>
      <x:c r="E53" s="8" t="n">
        <x:f>SUMIFS('Вакансии'!$L$2:$L$109,'Вакансии'!$B$2:$B$109,$A53)</x:f>
        <x:v>1</x:v>
      </x:c>
      <x:c r="F53" s="8" t="n">
        <x:f>SUMIFS('Вакансии'!$M$2:$M$109,'Вакансии'!$B$2:$B$109,$A53)</x:f>
        <x:v>4</x:v>
      </x:c>
      <x:c r="G53" s="8" t="n">
        <x:f>COUNTIFS('Вакансии'!$B$2:$B$109,$A53)</x:f>
        <x:v>5</x:v>
      </x:c>
      <x:c r="H53" s="9" t="str">
        <x:v>Найдены проверенные упоминания</x:v>
      </x:c>
      <x:c r="I53" s="9" t="str">
        <x:v>VMLY&amp;R|Wunderman Thompson|Wunderman</x:v>
      </x:c>
      <x:c r="J53" s="9" t="str">
        <x:v>WPP</x:v>
      </x:c>
      <x:c r="K53" s="9" t="str">
        <x:v>Combined current/historical brand family</x:v>
      </x:c>
      <x:c r="L53" s="9" t="str">
        <x:v>One row; verify agency identity for ambiguous Wunderman historical roles</x:v>
      </x:c>
      <x:c r="M53" s="9" t="str">
        <x:v>Higgsfield: 1 вакансий в основном корпусе; Runway: 1 вакансий в основном корпусе; 1 вне основного корпуса; Firefly: 4 вакансий в основном корпусе; 2 вне основного корпуса</x:v>
      </x:c>
    </x:row>
    <x:row r="54" ht="64" customHeight="1">
      <x:c r="A54" s="2" t="str">
        <x:v>A03</x:v>
      </x:c>
      <x:c r="B54" s="2" t="str">
        <x:v>Агентства</x:v>
      </x:c>
      <x:c r="C54" s="9" t="str">
        <x:v>AKQA</x:v>
      </x:c>
      <x:c r="D54" s="8" t="n">
        <x:f>SUMIFS('Вакансии'!$K$2:$K$109,'Вакансии'!$B$2:$B$109,$A54)</x:f>
        <x:v>0</x:v>
      </x:c>
      <x:c r="E54" s="8" t="n">
        <x:f>SUMIFS('Вакансии'!$L$2:$L$109,'Вакансии'!$B$2:$B$109,$A54)</x:f>
        <x:v>0</x:v>
      </x:c>
      <x:c r="F54" s="8" t="n">
        <x:f>SUMIFS('Вакансии'!$M$2:$M$109,'Вакансии'!$B$2:$B$109,$A54)</x:f>
        <x:v>0</x:v>
      </x:c>
      <x:c r="G54" s="8" t="n">
        <x:f>COUNTIFS('Вакансии'!$B$2:$B$109,$A54)</x:f>
        <x:v>0</x:v>
      </x:c>
      <x:c r="H54" s="9" t="str">
        <x:v>Проверенных упоминаний не найдено</x:v>
      </x:c>
      <x:c r="I54" s="9" t="str">
        <x:v>AKQA Group</x:v>
      </x:c>
      <x:c r="J54" s="9" t="str">
        <x:v>WPP</x:v>
      </x:c>
      <x:c r="K54" s="9" t="str">
        <x:v>Current/historical agency brand</x:v>
      </x:c>
      <x:c r="L54" s="9" t="str">
        <x:v>Do not automatically include Grey merely because of former AKQA Group structure</x:v>
      </x:c>
      <x:c r="M54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55" ht="64" customHeight="1">
      <x:c r="A55" s="2" t="str">
        <x:v>A04</x:v>
      </x:c>
      <x:c r="B55" s="2" t="str">
        <x:v>Агентства</x:v>
      </x:c>
      <x:c r="C55" s="9" t="str">
        <x:v>Hogarth / WPP Production</x:v>
      </x:c>
      <x:c r="D55" s="8" t="n">
        <x:f>SUMIFS('Вакансии'!$K$2:$K$109,'Вакансии'!$B$2:$B$109,$A55)</x:f>
        <x:v>0</x:v>
      </x:c>
      <x:c r="E55" s="8" t="n">
        <x:f>SUMIFS('Вакансии'!$L$2:$L$109,'Вакансии'!$B$2:$B$109,$A55)</x:f>
        <x:v>3</x:v>
      </x:c>
      <x:c r="F55" s="8" t="n">
        <x:f>SUMIFS('Вакансии'!$M$2:$M$109,'Вакансии'!$B$2:$B$109,$A55)</x:f>
        <x:v>1</x:v>
      </x:c>
      <x:c r="G55" s="8" t="n">
        <x:f>COUNTIFS('Вакансии'!$B$2:$B$109,$A55)</x:f>
        <x:v>3</x:v>
      </x:c>
      <x:c r="H55" s="9" t="str">
        <x:v>Найдены проверенные упоминания</x:v>
      </x:c>
      <x:c r="I55" s="9" t="str">
        <x:v>Hogarth|Hogarth Worldwide|WPP Production</x:v>
      </x:c>
      <x:c r="J55" s="9" t="str">
        <x:v>WPP</x:v>
      </x:c>
      <x:c r="K55" s="9" t="str">
        <x:v>Current/historical production-brand family</x:v>
      </x:c>
      <x:c r="L55" s="9" t="str">
        <x:v>Hogarth transition to WPP Production effective 23 Feb 2026; exclude other WPP brands counted separately</x:v>
      </x:c>
      <x:c r="M55" s="9" t="str">
        <x:v>Higgsfield: Проверенных упоминаний в основном корпусе не найдено; Runway: 3 вакансий в основном корпусе; Firefly: 1 вакансий в основном корпусе; 1 вне основного корпуса</x:v>
      </x:c>
    </x:row>
    <x:row r="56" ht="64" customHeight="1">
      <x:c r="A56" s="2" t="str">
        <x:v>A05</x:v>
      </x:c>
      <x:c r="B56" s="2" t="str">
        <x:v>Агентства</x:v>
      </x:c>
      <x:c r="C56" s="9" t="str">
        <x:v>BBDO</x:v>
      </x:c>
      <x:c r="D56" s="8" t="n">
        <x:f>SUMIFS('Вакансии'!$K$2:$K$109,'Вакансии'!$B$2:$B$109,$A56)</x:f>
        <x:v>0</x:v>
      </x:c>
      <x:c r="E56" s="8" t="n">
        <x:f>SUMIFS('Вакансии'!$L$2:$L$109,'Вакансии'!$B$2:$B$109,$A56)</x:f>
        <x:v>1</x:v>
      </x:c>
      <x:c r="F56" s="8" t="n">
        <x:f>SUMIFS('Вакансии'!$M$2:$M$109,'Вакансии'!$B$2:$B$109,$A56)</x:f>
        <x:v>2</x:v>
      </x:c>
      <x:c r="G56" s="8" t="n">
        <x:f>COUNTIFS('Вакансии'!$B$2:$B$109,$A56)</x:f>
        <x:v>2</x:v>
      </x:c>
      <x:c r="H56" s="9" t="str">
        <x:v>Найдены проверенные упоминания</x:v>
      </x:c>
      <x:c r="I56" s="9" t="str">
        <x:v>BBDO Worldwide</x:v>
      </x:c>
      <x:c r="J56" s="9" t="str">
        <x:v>Omnicom</x:v>
      </x:c>
      <x:c r="K56" s="9" t="str">
        <x:v>Current/historical agency brand</x:v>
      </x:c>
      <x:c r="L56" s="9" t="str">
        <x:v>Never reassign separately counted historical FCB ads to this row</x:v>
      </x:c>
      <x:c r="M56" s="9" t="str">
        <x:v>Higgsfield: Проверенных упоминаний в основном корпусе не найдено; Runway: 1 вакансий в основном корпусе; 1 вне основного корпуса; Firefly: 2 вакансий в основном корпусе</x:v>
      </x:c>
    </x:row>
    <x:row r="57" ht="64" customHeight="1">
      <x:c r="A57" s="2" t="str">
        <x:v>A06</x:v>
      </x:c>
      <x:c r="B57" s="2" t="str">
        <x:v>Агентства</x:v>
      </x:c>
      <x:c r="C57" s="9" t="str">
        <x:v>TBWA</x:v>
      </x:c>
      <x:c r="D57" s="8" t="n">
        <x:f>SUMIFS('Вакансии'!$K$2:$K$109,'Вакансии'!$B$2:$B$109,$A57)</x:f>
        <x:v>0</x:v>
      </x:c>
      <x:c r="E57" s="8" t="n">
        <x:f>SUMIFS('Вакансии'!$L$2:$L$109,'Вакансии'!$B$2:$B$109,$A57)</x:f>
        <x:v>4</x:v>
      </x:c>
      <x:c r="F57" s="8" t="n">
        <x:f>SUMIFS('Вакансии'!$M$2:$M$109,'Вакансии'!$B$2:$B$109,$A57)</x:f>
        <x:v>1</x:v>
      </x:c>
      <x:c r="G57" s="8" t="n">
        <x:f>COUNTIFS('Вакансии'!$B$2:$B$109,$A57)</x:f>
        <x:v>5</x:v>
      </x:c>
      <x:c r="H57" s="9" t="str">
        <x:v>Найдены проверенные упоминания</x:v>
      </x:c>
      <x:c r="I57" s="9" t="str">
        <x:v>TBWA Worldwide|TBWA\Worldwide|TBWA Chiat Day|TBWA\Chiat\Day</x:v>
      </x:c>
      <x:c r="J57" s="9" t="str">
        <x:v>Omnicom</x:v>
      </x:c>
      <x:c r="K57" s="9" t="str">
        <x:v>Current/historical agency brand</x:v>
      </x:c>
      <x:c r="L57" s="9" t="str">
        <x:v>Never reassign separately counted historical DDB ads to this row</x:v>
      </x:c>
      <x:c r="M57" s="9" t="str">
        <x:v>Higgsfield: Проверенных упоминаний в основном корпусе не найдено; 1 вне основного корпуса; Runway: 4 вакансий в основном корпусе; 3 вне основного корпуса; Firefly: 1 вакансий в основном корпусе; 1 вне основного корпуса</x:v>
      </x:c>
    </x:row>
    <x:row r="58" ht="64" customHeight="1">
      <x:c r="A58" s="2" t="str">
        <x:v>A07</x:v>
      </x:c>
      <x:c r="B58" s="2" t="str">
        <x:v>Агентства</x:v>
      </x:c>
      <x:c r="C58" s="9" t="str">
        <x:v>McCann</x:v>
      </x:c>
      <x:c r="D58" s="8" t="n">
        <x:f>SUMIFS('Вакансии'!$K$2:$K$109,'Вакансии'!$B$2:$B$109,$A58)</x:f>
        <x:v>1</x:v>
      </x:c>
      <x:c r="E58" s="8" t="n">
        <x:f>SUMIFS('Вакансии'!$L$2:$L$109,'Вакансии'!$B$2:$B$109,$A58)</x:f>
        <x:v>7</x:v>
      </x:c>
      <x:c r="F58" s="8" t="n">
        <x:f>SUMIFS('Вакансии'!$M$2:$M$109,'Вакансии'!$B$2:$B$109,$A58)</x:f>
        <x:v>5</x:v>
      </x:c>
      <x:c r="G58" s="8" t="n">
        <x:f>COUNTIFS('Вакансии'!$B$2:$B$109,$A58)</x:f>
        <x:v>8</x:v>
      </x:c>
      <x:c r="H58" s="9" t="str">
        <x:v>Найдены проверенные упоминания</x:v>
      </x:c>
      <x:c r="I58" s="9" t="str">
        <x:v>McCann Worldgroup|McCann Erickson</x:v>
      </x:c>
      <x:c r="J58" s="9" t="str">
        <x:v>Omnicom; formerly IPG</x:v>
      </x:c>
      <x:c r="K58" s="9" t="str">
        <x:v>Current/historical agency brand</x:v>
      </x:c>
      <x:c r="L58" s="9" t="str">
        <x:v>Require explicit network/agency; parent-only ads excluded</x:v>
      </x:c>
      <x:c r="M58" s="9" t="str">
        <x:v>Higgsfield: 1 вакансий в основном корпусе; Runway: 7 вакансий в основном корпусе; Firefly: 5 вакансий в основном корпусе; 1 вне основного корпуса</x:v>
      </x:c>
    </x:row>
    <x:row r="59" ht="64" customHeight="1">
      <x:c r="A59" s="2" t="str">
        <x:v>A08</x:v>
      </x:c>
      <x:c r="B59" s="2" t="str">
        <x:v>Агентства</x:v>
      </x:c>
      <x:c r="C59" s="9" t="str">
        <x:v>FCB</x:v>
      </x:c>
      <x:c r="D59" s="8" t="n">
        <x:f>SUMIFS('Вакансии'!$K$2:$K$109,'Вакансии'!$B$2:$B$109,$A59)</x:f>
        <x:v>1</x:v>
      </x:c>
      <x:c r="E59" s="8" t="n">
        <x:f>SUMIFS('Вакансии'!$L$2:$L$109,'Вакансии'!$B$2:$B$109,$A59)</x:f>
        <x:v>2</x:v>
      </x:c>
      <x:c r="F59" s="8" t="n">
        <x:f>SUMIFS('Вакансии'!$M$2:$M$109,'Вакансии'!$B$2:$B$109,$A59)</x:f>
        <x:v>1</x:v>
      </x:c>
      <x:c r="G59" s="8" t="n">
        <x:f>COUNTIFS('Вакансии'!$B$2:$B$109,$A59)</x:f>
        <x:v>2</x:v>
      </x:c>
      <x:c r="H59" s="9" t="str">
        <x:v>Найдены проверенные упоминания</x:v>
      </x:c>
      <x:c r="I59" s="9" t="str">
        <x:v>Foote Cone &amp; Belding|Foote Cone and Belding|Draftfcb</x:v>
      </x:c>
      <x:c r="J59" s="9" t="str">
        <x:v>Historically IPG; later Omnicom</x:v>
      </x:c>
      <x:c r="K59" s="9" t="str">
        <x:v>Historical agency brand</x:v>
      </x:c>
      <x:c r="L59" s="9" t="str">
        <x:v>Retired brand retained for all-history sampling; no successor double count</x:v>
      </x:c>
      <x:c r="M59" s="9" t="str">
        <x:v>Higgsfield: 1 вакансий в основном корпусе; Runway: 2 вакансий в основном корпусе; Firefly: 1 вакансий в основном корпусе; 1 вне основного корпуса</x:v>
      </x:c>
    </x:row>
    <x:row r="60" ht="64" customHeight="1">
      <x:c r="A60" s="2" t="str">
        <x:v>A09</x:v>
      </x:c>
      <x:c r="B60" s="2" t="str">
        <x:v>Агентства</x:v>
      </x:c>
      <x:c r="C60" s="9" t="str">
        <x:v>DDB</x:v>
      </x:c>
      <x:c r="D60" s="8" t="n">
        <x:f>SUMIFS('Вакансии'!$K$2:$K$109,'Вакансии'!$B$2:$B$109,$A60)</x:f>
        <x:v>0</x:v>
      </x:c>
      <x:c r="E60" s="8" t="n">
        <x:f>SUMIFS('Вакансии'!$L$2:$L$109,'Вакансии'!$B$2:$B$109,$A60)</x:f>
        <x:v>0</x:v>
      </x:c>
      <x:c r="F60" s="8" t="n">
        <x:f>SUMIFS('Вакансии'!$M$2:$M$109,'Вакансии'!$B$2:$B$109,$A60)</x:f>
        <x:v>0</x:v>
      </x:c>
      <x:c r="G60" s="8" t="n">
        <x:f>COUNTIFS('Вакансии'!$B$2:$B$109,$A60)</x:f>
        <x:v>0</x:v>
      </x:c>
      <x:c r="H60" s="9" t="str">
        <x:v>Проверенных упоминаний не найдено</x:v>
      </x:c>
      <x:c r="I60" s="9" t="str">
        <x:v>DDB Worldwide|Doyle Dane Bernbach</x:v>
      </x:c>
      <x:c r="J60" s="9" t="str">
        <x:v>Omnicom</x:v>
      </x:c>
      <x:c r="K60" s="9" t="str">
        <x:v>Historical agency brand</x:v>
      </x:c>
      <x:c r="L60" s="9" t="str">
        <x:v>Retired brand retained for all-history sampling; no successor double count</x:v>
      </x:c>
      <x:c r="M60" s="9" t="str">
        <x:v>Higgsfield: Проверенных упоминаний в основном корпусе не найдено; Runway: Проверенных упоминаний в основном корпусе не найдено; Firefly: Проверенных упоминаний в основном корпусе не найдено</x:v>
      </x:c>
    </x:row>
    <x:row r="61" ht="64" customHeight="1">
      <x:c r="A61" s="2" t="str">
        <x:v>A10</x:v>
      </x:c>
      <x:c r="B61" s="2" t="str">
        <x:v>Агентства</x:v>
      </x:c>
      <x:c r="C61" s="9" t="str">
        <x:v>Saatchi &amp; Saatchi</x:v>
      </x:c>
      <x:c r="D61" s="8" t="n">
        <x:f>SUMIFS('Вакансии'!$K$2:$K$109,'Вакансии'!$B$2:$B$109,$A61)</x:f>
        <x:v>0</x:v>
      </x:c>
      <x:c r="E61" s="8" t="n">
        <x:f>SUMIFS('Вакансии'!$L$2:$L$109,'Вакансии'!$B$2:$B$109,$A61)</x:f>
        <x:v>2</x:v>
      </x:c>
      <x:c r="F61" s="8" t="n">
        <x:f>SUMIFS('Вакансии'!$M$2:$M$109,'Вакансии'!$B$2:$B$109,$A61)</x:f>
        <x:v>2</x:v>
      </x:c>
      <x:c r="G61" s="8" t="n">
        <x:f>COUNTIFS('Вакансии'!$B$2:$B$109,$A61)</x:f>
        <x:v>2</x:v>
      </x:c>
      <x:c r="H61" s="9" t="str">
        <x:v>Найдены проверенные упоминания</x:v>
      </x:c>
      <x:c r="I61" s="9" t="str">
        <x:v>Saatchi and Saatchi</x:v>
      </x:c>
      <x:c r="J61" s="9" t="str">
        <x:v>Publicis Groupe</x:v>
      </x:c>
      <x:c r="K61" s="9" t="str">
        <x:v>Current/historical agency brand</x:v>
      </x:c>
      <x:c r="L61" s="9" t="str">
        <x:v>Exclude M&amp;C Saatchi; separate company</x:v>
      </x:c>
      <x:c r="M61" s="9" t="str">
        <x:v>Higgsfield: Проверенных упоминаний в основном корпусе не найдено; Runway: 2 вакансий в основном корпусе; Firefly: 2 вакансий в основном корпусе</x:v>
      </x:c>
    </x:row>
    <x:row r="62" ht="64" customHeight="1">
      <x:c r="A62" s="2" t="str">
        <x:v>A11</x:v>
      </x:c>
      <x:c r="B62" s="2" t="str">
        <x:v>Агентства</x:v>
      </x:c>
      <x:c r="C62" s="9" t="str">
        <x:v>Leo</x:v>
      </x:c>
      <x:c r="D62" s="8" t="n">
        <x:f>SUMIFS('Вакансии'!$K$2:$K$109,'Вакансии'!$B$2:$B$109,$A62)</x:f>
        <x:v>0</x:v>
      </x:c>
      <x:c r="E62" s="8" t="n">
        <x:f>SUMIFS('Вакансии'!$L$2:$L$109,'Вакансии'!$B$2:$B$109,$A62)</x:f>
        <x:v>1</x:v>
      </x:c>
      <x:c r="F62" s="8" t="n">
        <x:f>SUMIFS('Вакансии'!$M$2:$M$109,'Вакансии'!$B$2:$B$109,$A62)</x:f>
        <x:v>0</x:v>
      </x:c>
      <x:c r="G62" s="8" t="n">
        <x:f>COUNTIFS('Вакансии'!$B$2:$B$109,$A62)</x:f>
        <x:v>1</x:v>
      </x:c>
      <x:c r="H62" s="9" t="str">
        <x:v>Найдены проверенные упоминания</x:v>
      </x:c>
      <x:c r="I62" s="9" t="str">
        <x:v>Leo Burnett|Publicis Worldwide|Leo network</x:v>
      </x:c>
      <x:c r="J62" s="9" t="str">
        <x:v>Publicis Groupe</x:v>
      </x:c>
      <x:c r="K62" s="9" t="str">
        <x:v>Combined current/historical brand family</x:v>
      </x:c>
      <x:c r="L62" s="9" t="str">
        <x:v>Leo combined Leo Burnett/Publicis Worldwide Jan 2025; neither is separate denominator row</x:v>
      </x:c>
      <x:c r="M62" s="9" t="str">
        <x:v>Higgsfield: Проверенных упоминаний в основном корпусе не найдено; 2 вне основного корпуса; Runway: 1 вакансий в основном корпусе; 1 вне основного корпуса; Adobe Firefly: Проверенных упоминаний в основном корпусе не найдено</x:v>
      </x:c>
    </x:row>
    <x:row r="63" ht="64" customHeight="1">
      <x:c r="A63" s="2" t="str">
        <x:v>A12</x:v>
      </x:c>
      <x:c r="B63" s="2" t="str">
        <x:v>Агентства</x:v>
      </x:c>
      <x:c r="C63" s="9" t="str">
        <x:v>Digitas</x:v>
      </x:c>
      <x:c r="D63" s="8" t="n">
        <x:f>SUMIFS('Вакансии'!$K$2:$K$109,'Вакансии'!$B$2:$B$109,$A63)</x:f>
        <x:v>0</x:v>
      </x:c>
      <x:c r="E63" s="8" t="n">
        <x:f>SUMIFS('Вакансии'!$L$2:$L$109,'Вакансии'!$B$2:$B$109,$A63)</x:f>
        <x:v>1</x:v>
      </x:c>
      <x:c r="F63" s="8" t="n">
        <x:f>SUMIFS('Вакансии'!$M$2:$M$109,'Вакансии'!$B$2:$B$109,$A63)</x:f>
        <x:v>0</x:v>
      </x:c>
      <x:c r="G63" s="8" t="n">
        <x:f>COUNTIFS('Вакансии'!$B$2:$B$109,$A63)</x:f>
        <x:v>1</x:v>
      </x:c>
      <x:c r="H63" s="9" t="str">
        <x:v>Найдены проверенные упоминания</x:v>
      </x:c>
      <x:c r="I63" s="9" t="str">
        <x:v>DigitasLBi|Digitas LBi</x:v>
      </x:c>
      <x:c r="J63" s="9" t="str">
        <x:v>Publicis Groupe</x:v>
      </x:c>
      <x:c r="K63" s="9" t="str">
        <x:v>Current/historical agency brand</x:v>
      </x:c>
      <x:c r="L63" s="9" t="str">
        <x:v>Exclude parent-only Publicis and separate media agencies</x:v>
      </x:c>
      <x:c r="M63" s="9" t="str">
        <x:v>Higgsfield: Проверенных упоминаний в основном корпусе не найдено; Runway: 1 вакансий в основном корпусе; 1 вне основного корпуса; Adobe Firefly: Проверенных упоминаний в основном корпусе не найдено; 1 вне основного корпуса</x:v>
      </x:c>
    </x:row>
    <x:row r="64" ht="64" customHeight="1">
      <x:c r="A64" s="2" t="str">
        <x:v>A13</x:v>
      </x:c>
      <x:c r="B64" s="2" t="str">
        <x:v>Агентства</x:v>
      </x:c>
      <x:c r="C64" s="9" t="str">
        <x:v>Accenture Song / Droga5</x:v>
      </x:c>
      <x:c r="D64" s="8" t="n">
        <x:f>SUMIFS('Вакансии'!$K$2:$K$109,'Вакансии'!$B$2:$B$109,$A64)</x:f>
        <x:v>1</x:v>
      </x:c>
      <x:c r="E64" s="8" t="n">
        <x:f>SUMIFS('Вакансии'!$L$2:$L$109,'Вакансии'!$B$2:$B$109,$A64)</x:f>
        <x:v>2</x:v>
      </x:c>
      <x:c r="F64" s="8" t="n">
        <x:f>SUMIFS('Вакансии'!$M$2:$M$109,'Вакансии'!$B$2:$B$109,$A64)</x:f>
        <x:v>2</x:v>
      </x:c>
      <x:c r="G64" s="8" t="n">
        <x:f>COUNTIFS('Вакансии'!$B$2:$B$109,$A64)</x:f>
        <x:v>4</x:v>
      </x:c>
      <x:c r="H64" s="9" t="str">
        <x:v>Найдены проверенные упоминания</x:v>
      </x:c>
      <x:c r="I64" s="9" t="str">
        <x:v>Accenture Song|Droga5|Accenture Interactive</x:v>
      </x:c>
      <x:c r="J64" s="9" t="str">
        <x:v>Accenture</x:v>
      </x:c>
      <x:c r="K64" s="9" t="str">
        <x:v>Deliberately grouped creative business family</x:v>
      </x:c>
      <x:c r="L64" s="9" t="str">
        <x:v>Droga5 is subsidiary not simple rename; only explicitly creative/design/content/production vacancies</x:v>
      </x:c>
      <x:c r="M64" s="9" t="str">
        <x:v>Higgsfield: 1 вакансий в основном корпусе; Runway: 2 вакансий в основном корпусе; Adobe Firefly: 2 вакансий в основном корпусе; 1 вне основного корпуса</x:v>
      </x:c>
    </x:row>
    <x:row r="65" ht="64" customHeight="1">
      <x:c r="A65" s="2" t="str">
        <x:v>A14</x:v>
      </x:c>
      <x:c r="B65" s="2" t="str">
        <x:v>Агентства</x:v>
      </x:c>
      <x:c r="C65" s="9" t="str">
        <x:v>Dentsu Creative</x:v>
      </x:c>
      <x:c r="D65" s="8" t="n">
        <x:f>SUMIFS('Вакансии'!$K$2:$K$109,'Вакансии'!$B$2:$B$109,$A65)</x:f>
        <x:v>0</x:v>
      </x:c>
      <x:c r="E65" s="8" t="n">
        <x:f>SUMIFS('Вакансии'!$L$2:$L$109,'Вакансии'!$B$2:$B$109,$A65)</x:f>
        <x:v>0</x:v>
      </x:c>
      <x:c r="F65" s="8" t="n">
        <x:f>SUMIFS('Вакансии'!$M$2:$M$109,'Вакансии'!$B$2:$B$109,$A65)</x:f>
        <x:v>2</x:v>
      </x:c>
      <x:c r="G65" s="8" t="n">
        <x:f>COUNTIFS('Вакансии'!$B$2:$B$109,$A65)</x:f>
        <x:v>2</x:v>
      </x:c>
      <x:c r="H65" s="9" t="str">
        <x:v>Найдены проверенные упоминания</x:v>
      </x:c>
      <x:c r="I65" s="9" t="str">
        <x:v>Dentsu Creative|dentsu creative</x:v>
      </x:c>
      <x:c r="J65" s="9" t="str">
        <x:v>Dentsu</x:v>
      </x:c>
      <x:c r="K65" s="9" t="str">
        <x:v>Current/historical agency brand</x:v>
      </x:c>
      <x:c r="L65" s="9" t="str">
        <x:v>Require creative-unit attribution; generic Dentsu/media/consulting jobs excluded</x:v>
      </x:c>
      <x:c r="M65" s="9" t="str">
        <x:v>Higgsfield: Проверенных упоминаний в основном корпусе не найдено; Runway: Проверенных упоминаний в основном корпусе не найдено; Adobe Firefly: 2 вакансий в основном корпусе; 4 вне основного корпуса</x:v>
      </x:c>
    </x:row>
    <x:row r="66" ht="64" customHeight="1">
      <x:c r="A66" s="2" t="str">
        <x:v>A15</x:v>
      </x:c>
      <x:c r="B66" s="2" t="str">
        <x:v>Агентства</x:v>
      </x:c>
      <x:c r="C66" s="9" t="str">
        <x:v>Havas Creative</x:v>
      </x:c>
      <x:c r="D66" s="8" t="n">
        <x:f>SUMIFS('Вакансии'!$K$2:$K$109,'Вакансии'!$B$2:$B$109,$A66)</x:f>
        <x:v>1</x:v>
      </x:c>
      <x:c r="E66" s="8" t="n">
        <x:f>SUMIFS('Вакансии'!$L$2:$L$109,'Вакансии'!$B$2:$B$109,$A66)</x:f>
        <x:v>1</x:v>
      </x:c>
      <x:c r="F66" s="8" t="n">
        <x:f>SUMIFS('Вакансии'!$M$2:$M$109,'Вакансии'!$B$2:$B$109,$A66)</x:f>
        <x:v>1</x:v>
      </x:c>
      <x:c r="G66" s="8" t="n">
        <x:f>COUNTIFS('Вакансии'!$B$2:$B$109,$A66)</x:f>
        <x:v>1</x:v>
      </x:c>
      <x:c r="H66" s="9" t="str">
        <x:v>Найдены проверенные упоминания</x:v>
      </x:c>
      <x:c r="I66" s="9" t="str">
        <x:v>Havas Creative Network|Havas Worldwide|Euro RSCG</x:v>
      </x:c>
      <x:c r="J66" s="9" t="str">
        <x:v>Havas</x:v>
      </x:c>
      <x:c r="K66" s="9" t="str">
        <x:v>Current/historical creative network</x:v>
      </x:c>
      <x:c r="L66" s="9" t="str">
        <x:v>Exclude Havas Media and Health-only generic postings unless creative sample scope explicitly supports them</x:v>
      </x:c>
      <x:c r="M66" s="9" t="str">
        <x:v>Higgsfield: 1 вакансий в основном корпусе; 1 вне основного корпуса; Runway: 1 вакансий в основном корпусе; 1 вне основного корпуса; Adobe Firefly: 1 вакансий в основном корпусе</x:v>
      </x:c>
    </x:row>
    <x:row r="67" ht="64" customHeight="1">
      <x:c r="A67" s="2" t="str">
        <x:v>A16</x:v>
      </x:c>
      <x:c r="B67" s="2" t="str">
        <x:v>Агентства</x:v>
      </x:c>
      <x:c r="C67" s="9" t="str">
        <x:v>Monks</x:v>
      </x:c>
      <x:c r="D67" s="8" t="n">
        <x:f>SUMIFS('Вакансии'!$K$2:$K$109,'Вакансии'!$B$2:$B$109,$A67)</x:f>
        <x:v>1</x:v>
      </x:c>
      <x:c r="E67" s="8" t="n">
        <x:f>SUMIFS('Вакансии'!$L$2:$L$109,'Вакансии'!$B$2:$B$109,$A67)</x:f>
        <x:v>10</x:v>
      </x:c>
      <x:c r="F67" s="8" t="n">
        <x:f>SUMIFS('Вакансии'!$M$2:$M$109,'Вакансии'!$B$2:$B$109,$A67)</x:f>
        <x:v>6</x:v>
      </x:c>
      <x:c r="G67" s="8" t="n">
        <x:f>COUNTIFS('Вакансии'!$B$2:$B$109,$A67)</x:f>
        <x:v>11</x:v>
      </x:c>
      <x:c r="H67" s="9" t="str">
        <x:v>Найдены проверенные упоминания</x:v>
      </x:c>
      <x:c r="I67" s="9" t="str">
        <x:v>Media.Monks|MediaMonks</x:v>
      </x:c>
      <x:c r="J67" s="9" t="str">
        <x:v>S4 Capital</x:v>
      </x:c>
      <x:c r="K67" s="9" t="str">
        <x:v>Current/historical agency brand</x:v>
      </x:c>
      <x:c r="L67" s="9" t="str">
        <x:v>Media.Monks renamed Monks in 2024; one row</x:v>
      </x:c>
      <x:c r="M67" s="9" t="str">
        <x:v>Higgsfield: 1 вакансий в основном корпусе; Runway: 10 вакансий в основном корпусе; 2 вне основного корпуса; Adobe Firefly: 6 вакансий в основном корпусе; 2 вне основного корпуса</x:v>
      </x:c>
    </x:row>
    <x:row r="68" ht="64" customHeight="1">
      <x:c r="A68" s="2" t="str">
        <x:v>A17</x:v>
      </x:c>
      <x:c r="B68" s="2" t="str">
        <x:v>Агентства</x:v>
      </x:c>
      <x:c r="C68" s="9" t="str">
        <x:v>OLIVER / OLIVER+ / Brandtech Plus</x:v>
      </x:c>
      <x:c r="D68" s="8" t="n">
        <x:f>SUMIFS('Вакансии'!$K$2:$K$109,'Вакансии'!$B$2:$B$109,$A68)</x:f>
        <x:v>1</x:v>
      </x:c>
      <x:c r="E68" s="8" t="n">
        <x:f>SUMIFS('Вакансии'!$L$2:$L$109,'Вакансии'!$B$2:$B$109,$A68)</x:f>
        <x:v>3</x:v>
      </x:c>
      <x:c r="F68" s="8" t="n">
        <x:f>SUMIFS('Вакансии'!$M$2:$M$109,'Вакансии'!$B$2:$B$109,$A68)</x:f>
        <x:v>14</x:v>
      </x:c>
      <x:c r="G68" s="8" t="n">
        <x:f>COUNTIFS('Вакансии'!$B$2:$B$109,$A68)</x:f>
        <x:v>14</x:v>
      </x:c>
      <x:c r="H68" s="9" t="str">
        <x:v>Найдены проверенные упоминания</x:v>
      </x:c>
      <x:c r="I68" s="9" t="str">
        <x:v>OLIVER|OLIVER+|Brandtech Plus|Brandtech+</x:v>
      </x:c>
      <x:c r="J68" s="9" t="str">
        <x:v>The Brandtech Group</x:v>
      </x:c>
      <x:c r="K68" s="9" t="str">
        <x:v>Deliberately grouped agency/production family</x:v>
      </x:c>
      <x:c r="L68" s="9" t="str">
        <x:v>Brandtech Plus is former OLIVER+; OLIVER itself remains distinct; exclude Jellyfish and other Brandtech siblings</x:v>
      </x:c>
      <x:c r="M68" s="9" t="str">
        <x:v>Higgsfield: 1 вакансий в основном корпусе; Runway: 3 вакансий в основном корпусе; Adobe Firefly: 14 вакансий в основном корпусе</x:v>
      </x:c>
    </x:row>
    <x:row r="69" ht="64" customHeight="1">
      <x:c r="A69" s="2" t="str">
        <x:v>A18</x:v>
      </x:c>
      <x:c r="B69" s="2" t="str">
        <x:v>Агентства</x:v>
      </x:c>
      <x:c r="C69" s="9" t="str">
        <x:v>R/GA</x:v>
      </x:c>
      <x:c r="D69" s="8" t="n">
        <x:f>SUMIFS('Вакансии'!$K$2:$K$109,'Вакансии'!$B$2:$B$109,$A69)</x:f>
        <x:v>0</x:v>
      </x:c>
      <x:c r="E69" s="8" t="n">
        <x:f>SUMIFS('Вакансии'!$L$2:$L$109,'Вакансии'!$B$2:$B$109,$A69)</x:f>
        <x:v>7</x:v>
      </x:c>
      <x:c r="F69" s="8" t="n">
        <x:f>SUMIFS('Вакансии'!$M$2:$M$109,'Вакансии'!$B$2:$B$109,$A69)</x:f>
        <x:v>1</x:v>
      </x:c>
      <x:c r="G69" s="8" t="n">
        <x:f>COUNTIFS('Вакансии'!$B$2:$B$109,$A69)</x:f>
        <x:v>7</x:v>
      </x:c>
      <x:c r="H69" s="9" t="str">
        <x:v>Найдены проверенные упоминания</x:v>
      </x:c>
      <x:c r="I69" s="9" t="str">
        <x:v>RGA|R/GA Media Group</x:v>
      </x:c>
      <x:c r="J69" s="9" t="str">
        <x:v>Independent/Truelink-backed; formerly IPG</x:v>
      </x:c>
      <x:c r="K69" s="9" t="str">
        <x:v>Current/historical agency brand</x:v>
      </x:c>
      <x:c r="L69" s="9" t="str">
        <x:v>2025 independence; require R/GA disambiguation</x:v>
      </x:c>
      <x:c r="M69" s="9" t="str">
        <x:v>Higgsfield: Проверенных упоминаний в основном корпусе не найдено; Runway: 7 вакансий в основном корпусе; 2 вне основного корпуса; Adobe Firefly: 1 вакансий в основном корпусе</x:v>
      </x:c>
    </x:row>
    <x:row r="70" ht="64" customHeight="1">
      <x:c r="A70" s="2" t="str">
        <x:v>A19</x:v>
      </x:c>
      <x:c r="B70" s="2" t="str">
        <x:v>Агентства</x:v>
      </x:c>
      <x:c r="C70" s="9" t="str">
        <x:v>Artefact 3000</x:v>
      </x:c>
      <x:c r="D70" s="8" t="n">
        <x:f>SUMIFS('Вакансии'!$K$2:$K$109,'Вакансии'!$B$2:$B$109,$A70)</x:f>
        <x:v>1</x:v>
      </x:c>
      <x:c r="E70" s="8" t="n">
        <x:f>SUMIFS('Вакансии'!$L$2:$L$109,'Вакансии'!$B$2:$B$109,$A70)</x:f>
        <x:v>2</x:v>
      </x:c>
      <x:c r="F70" s="8" t="n">
        <x:f>SUMIFS('Вакансии'!$M$2:$M$109,'Вакансии'!$B$2:$B$109,$A70)</x:f>
        <x:v>1</x:v>
      </x:c>
      <x:c r="G70" s="8" t="n">
        <x:f>COUNTIFS('Вакансии'!$B$2:$B$109,$A70)</x:f>
        <x:v>2</x:v>
      </x:c>
      <x:c r="H70" s="9" t="str">
        <x:v>Найдены проверенные упоминания</x:v>
      </x:c>
      <x:c r="I70" s="9" t="str">
        <x:v>Artefact3000|Artefact 3000</x:v>
      </x:c>
      <x:c r="J70" s="9" t="str">
        <x:v>Artefact</x:v>
      </x:c>
      <x:c r="K70" s="9" t="str">
        <x:v>Specialist creative agency brand</x:v>
      </x:c>
      <x:c r="L70" s="9" t="str">
        <x:v>Exclude generic Artefact data/AI consulting vacancies unless explicitly creative agency</x:v>
      </x:c>
      <x:c r="M70" s="9" t="str">
        <x:v>Higgsfield: 1 вакансий в основном корпусе; Runway: 2 вакансий в основном корпусе; Adobe Firefly: 1 вакансий в основном корпусе</x:v>
      </x:c>
    </x:row>
    <x:row r="71" ht="64" customHeight="1">
      <x:c r="A71" s="2" t="str">
        <x:v>A20</x:v>
      </x:c>
      <x:c r="B71" s="2" t="str">
        <x:v>Агентства</x:v>
      </x:c>
      <x:c r="C71" s="9" t="str">
        <x:v>VaynerMedia</x:v>
      </x:c>
      <x:c r="D71" s="8" t="n">
        <x:f>SUMIFS('Вакансии'!$K$2:$K$109,'Вакансии'!$B$2:$B$109,$A71)</x:f>
        <x:v>0</x:v>
      </x:c>
      <x:c r="E71" s="8" t="n">
        <x:f>SUMIFS('Вакансии'!$L$2:$L$109,'Вакансии'!$B$2:$B$109,$A71)</x:f>
        <x:v>0</x:v>
      </x:c>
      <x:c r="F71" s="8" t="n">
        <x:f>SUMIFS('Вакансии'!$M$2:$M$109,'Вакансии'!$B$2:$B$109,$A71)</x:f>
        <x:v>0</x:v>
      </x:c>
      <x:c r="G71" s="8" t="n">
        <x:f>COUNTIFS('Вакансии'!$B$2:$B$109,$A71)</x:f>
        <x:v>0</x:v>
      </x:c>
      <x:c r="H71" s="9" t="str">
        <x:v>Проверенных упоминаний не найдено</x:v>
      </x:c>
      <x:c r="I71" s="9" t="str">
        <x:v>Vayner Media</x:v>
      </x:c>
      <x:c r="J71" s="9" t="str">
        <x:v>VaynerX</x:v>
      </x:c>
      <x:c r="K71" s="9" t="str">
        <x:v>Current/historical agency brand</x:v>
      </x:c>
      <x:c r="L71" s="9" t="str">
        <x:v>Exclude generic VaynerX siblings unless employer explicitly VaynerMedia</x:v>
      </x:c>
      <x:c r="M71" s="9" t="str">
        <x:v>Higgsfield: Проверенных упоминаний в основном корпусе не найдено; Runway: Проверенных упоминаний в основном корпусе не найдено; Adobe Firefly: Проверенных упоминаний в основном корпусе не найдено</x:v>
      </x:c>
    </x:row>
  </x:sheetData>
  <x:conditionalFormatting sqref="D2:G71">
    <x:cfRule type="cellIs" dxfId="2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500da1efda413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31" hidden="0" customWidth="1"/>
    <x:col min="4" max="4" width="22" hidden="0" customWidth="1"/>
    <x:col min="5" max="5" width="35" hidden="0" customWidth="1"/>
    <x:col min="6" max="6" width="55" hidden="0" customWidth="1"/>
    <x:col min="7" max="7" width="28" hidden="0" customWidth="1"/>
    <x:col min="8" max="8" width="18" hidden="0" customWidth="1"/>
    <x:col min="9" max="9" width="35" hidden="0" customWidth="1"/>
    <x:col min="10" max="10" width="34" hidden="0" customWidth="1"/>
    <x:col min="11" max="11" width="14" hidden="0" customWidth="1"/>
    <x:col min="12" max="12" width="12" hidden="0" customWidth="1"/>
    <x:col min="13" max="13" width="16" hidden="0" customWidth="1"/>
    <x:col min="14" max="14" width="24" hidden="0" customWidth="1"/>
    <x:col min="15" max="15" width="70" hidden="0" customWidth="1"/>
    <x:col min="16" max="16" width="90" hidden="0" customWidth="1"/>
    <x:col min="17" max="17" width="75" hidden="0" customWidth="1"/>
    <x:col min="18" max="18" width="80" hidden="0" customWidth="1"/>
    <x:col min="19" max="19" width="80" hidden="0" customWidth="1"/>
    <x:col min="20" max="20" width="24" hidden="0" customWidth="1"/>
    <x:col min="21" max="21" width="32" hidden="0" customWidth="1"/>
  </x:cols>
  <x:sheetData>
    <x:row r="1" ht="36" customHeight="1">
      <x:c r="A1" s="6" t="str">
        <x:v>ID записи</x:v>
      </x:c>
      <x:c r="B1" s="6" t="str">
        <x:v>ID компании</x:v>
      </x:c>
      <x:c r="C1" s="6" t="str">
        <x:v>Единица выборки</x:v>
      </x:c>
      <x:c r="D1" s="6" t="str">
        <x:v>Группа</x:v>
      </x:c>
      <x:c r="E1" s="6" t="str">
        <x:v>Работодатель в объявлении</x:v>
      </x:c>
      <x:c r="F1" s="6" t="str">
        <x:v>Вакансия</x:v>
      </x:c>
      <x:c r="G1" s="6" t="str">
        <x:v>Место</x:v>
      </x:c>
      <x:c r="H1" s="6" t="str">
        <x:v>Дата публикации</x:v>
      </x:c>
      <x:c r="I1" s="6" t="str">
        <x:v>Что известно о дате</x:v>
      </x:c>
      <x:c r="J1" s="6" t="str">
        <x:v>Статус объявления</x:v>
      </x:c>
      <x:c r="K1" s="6" t="str">
        <x:v>Higgsfield</x:v>
      </x:c>
      <x:c r="L1" s="6" t="str">
        <x:v>Runway</x:v>
      </x:c>
      <x:c r="M1" s="6" t="str">
        <x:v>Adobe Firefly</x:v>
      </x:c>
      <x:c r="N1" s="6" t="str">
        <x:v>Тип источника</x:v>
      </x:c>
      <x:c r="O1" s="6" t="str">
        <x:v>Короткий фрагмент</x:v>
      </x:c>
      <x:c r="P1" s="6" t="str">
        <x:v>Источник</x:v>
      </x:c>
      <x:c r="Q1" s="6" t="str">
        <x:v>Другие ссылки</x:v>
      </x:c>
      <x:c r="R1" s="6" t="str">
        <x:v>Связь с сетью</x:v>
      </x:c>
      <x:c r="S1" s="6" t="str">
        <x:v>Примечание</x:v>
      </x:c>
      <x:c r="T1" s="6" t="str">
        <x:v>Решение</x:v>
      </x:c>
      <x:c r="U1" s="6" t="str">
        <x:v>Номер вакансии</x:v>
      </x:c>
    </x:row>
    <x:row r="2" ht="66" customHeight="1">
      <x:c r="A2" s="2" t="str">
        <x:v>J001</x:v>
      </x:c>
      <x:c r="B2" s="2" t="str">
        <x:v>C01</x:v>
      </x:c>
      <x:c r="C2" s="9" t="str">
        <x:v>Nestlé</x:v>
      </x:c>
      <x:c r="D2" s="2" t="str">
        <x:v>CPG/FMCG/beauty</x:v>
      </x:c>
      <x:c r="E2" s="9" t="str">
        <x:v>Nestlé</x:v>
      </x:c>
      <x:c r="F2" s="9" t="str">
        <x:v>Content Adaptation Graphic Producer</x:v>
      </x:c>
      <x:c r="G2" s="9" t="str">
        <x:v>Cairo, Egypt</x:v>
      </x:c>
      <x:c r="H2" s="7"/>
      <x:c r="I2" s="9" t="str">
        <x:v>unknown</x:v>
      </x:c>
      <x:c r="J2" s="9" t="str">
        <x:v>closed</x:v>
      </x:c>
      <x:c r="K2" s="8" t="n">
        <x:v>0</x:v>
      </x:c>
      <x:c r="L2" s="8" t="n">
        <x:v>0</x:v>
      </x:c>
      <x:c r="M2" s="8" t="n">
        <x:v>1</x:v>
      </x:c>
      <x:c r="N2" s="9" t="str">
        <x:v>B - full job-board/employer-posted JD</x:v>
      </x:c>
      <x:c r="O2" s="9" t="str">
        <x:v>Good to Know: Generative AI tools for adaptation and localization such as Firefly, Dragonfly, and Storyteq</x:v>
      </x:c>
      <x:c r="P2" s="9" t="str">
        <x:v>https://www.linkedin.com/jobs/view/4338792587</x:v>
      </x:c>
      <x:c r="Q2" s="9" t="str"/>
      <x:c r="R2" s="9" t="str"/>
      <x:c r="S2" s="9" t="str"/>
      <x:c r="T2" s="9" t="str">
        <x:v>yes</x:v>
      </x:c>
      <x:c r="U2" s="9" t="str">
        <x:v>LinkedIn:4338792587</x:v>
      </x:c>
    </x:row>
    <x:row r="3" ht="66" customHeight="1">
      <x:c r="A3" s="2" t="str">
        <x:v>J002</x:v>
      </x:c>
      <x:c r="B3" s="2" t="str">
        <x:v>C01</x:v>
      </x:c>
      <x:c r="C3" s="9" t="str">
        <x:v>Nestlé</x:v>
      </x:c>
      <x:c r="D3" s="2" t="str">
        <x:v>CPG/FMCG/beauty</x:v>
      </x:c>
      <x:c r="E3" s="9" t="str">
        <x:v>Nestlé Health Science</x:v>
      </x:c>
      <x:c r="F3" s="9" t="str">
        <x:v>Lead Graphic Designer, Packaging</x:v>
      </x:c>
      <x:c r="G3" s="9" t="str">
        <x:v>Bridgewater, NJ, USA / remote-hybrid</x:v>
      </x:c>
      <x:c r="H3" s="7"/>
      <x:c r="I3" s="9" t="str">
        <x:v>unknown</x:v>
      </x:c>
      <x:c r="J3" s="9" t="str">
        <x:v>appears open</x:v>
      </x:c>
      <x:c r="K3" s="8" t="n">
        <x:v>0</x:v>
      </x:c>
      <x:c r="L3" s="8" t="n">
        <x:v>0</x:v>
      </x:c>
      <x:c r="M3" s="8" t="n">
        <x:v>1</x:v>
      </x:c>
      <x:c r="N3" s="9" t="str">
        <x:v>B - full job-board/employer-posted JD</x:v>
      </x:c>
      <x:c r="O3" s="9" t="str">
        <x:v>Proficient in Adobe Creative Suite; knowledge of Adobe AI tools, including Firefly, preferred.</x:v>
      </x:c>
      <x:c r="P3" s="9" t="str">
        <x:v>https://www.linkedin.com/jobs/view/4467205993</x:v>
      </x:c>
      <x:c r="Q3" s="9" t="str"/>
      <x:c r="R3" s="9" t="str"/>
      <x:c r="S3" s="9" t="str"/>
      <x:c r="T3" s="9" t="str">
        <x:v>yes</x:v>
      </x:c>
      <x:c r="U3" s="9" t="str">
        <x:v>418227</x:v>
      </x:c>
    </x:row>
    <x:row r="4" ht="66" customHeight="1">
      <x:c r="A4" s="2" t="str">
        <x:v>J003</x:v>
      </x:c>
      <x:c r="B4" s="2" t="str">
        <x:v>C02</x:v>
      </x:c>
      <x:c r="C4" s="9" t="str">
        <x:v>Procter &amp; Gamble</x:v>
      </x:c>
      <x:c r="D4" s="2" t="str">
        <x:v>CPG/FMCG/beauty</x:v>
      </x:c>
      <x:c r="E4" s="9" t="str">
        <x:v>Procter &amp; Gamble</x:v>
      </x:c>
      <x:c r="F4" s="9" t="str">
        <x:v>Brand Expression Designer (Baby Care)</x:v>
      </x:c>
      <x:c r="G4" s="9" t="str">
        <x:v>Cincinnati, OH, USA</x:v>
      </x:c>
      <x:c r="H4" s="7"/>
      <x:c r="I4" s="9" t="str">
        <x:v>unknown</x:v>
      </x:c>
      <x:c r="J4" s="9" t="str">
        <x:v>closed</x:v>
      </x:c>
      <x:c r="K4" s="8" t="n">
        <x:v>0</x:v>
      </x:c>
      <x:c r="L4" s="8" t="n">
        <x:v>0</x:v>
      </x:c>
      <x:c r="M4" s="8" t="n">
        <x:v>1</x:v>
      </x:c>
      <x:c r="N4" s="9" t="str">
        <x:v>B - full job-board/employer-posted JD</x:v>
      </x:c>
      <x:c r="O4" s="9" t="str">
        <x:v>Use AI‑powered tools (Adobe Firefly and beyond) to accelerate ideation, iteration, and execution</x:v>
      </x:c>
      <x:c r="P4" s="9" t="str">
        <x:v>https://builtin.com/job/brand-expression-designer/9275766</x:v>
      </x:c>
      <x:c r="Q4" s="9" t="str"/>
      <x:c r="R4" s="9" t="str"/>
      <x:c r="S4" s="9" t="str"/>
      <x:c r="T4" s="9" t="str">
        <x:v>yes</x:v>
      </x:c>
      <x:c r="U4" s="9" t="str">
        <x:v>R000149432</x:v>
      </x:c>
    </x:row>
    <x:row r="5" ht="66" customHeight="1">
      <x:c r="A5" s="2" t="str">
        <x:v>J004</x:v>
      </x:c>
      <x:c r="B5" s="2" t="str">
        <x:v>C02</x:v>
      </x:c>
      <x:c r="C5" s="9" t="str">
        <x:v>Procter &amp; Gamble</x:v>
      </x:c>
      <x:c r="D5" s="2" t="str">
        <x:v>CPG/FMCG/beauty</x:v>
      </x:c>
      <x:c r="E5" s="9" t="str">
        <x:v>Procter &amp; Gamble</x:v>
      </x:c>
      <x:c r="F5" s="9" t="str">
        <x:v>NA Home Care Brand Expression Designer</x:v>
      </x:c>
      <x:c r="G5" s="9" t="str">
        <x:v>Cincinnati, OH, USA</x:v>
      </x:c>
      <x:c r="H5" s="7"/>
      <x:c r="I5" s="9" t="str">
        <x:v>unknown</x:v>
      </x:c>
      <x:c r="J5" s="9" t="str">
        <x:v>appears open</x:v>
      </x:c>
      <x:c r="K5" s="8" t="n">
        <x:v>0</x:v>
      </x:c>
      <x:c r="L5" s="8" t="n">
        <x:v>0</x:v>
      </x:c>
      <x:c r="M5" s="8" t="n">
        <x:v>1</x:v>
      </x:c>
      <x:c r="N5" s="9" t="str">
        <x:v>B - full job-board/employer-posted JD</x:v>
      </x:c>
      <x:c r="O5" s="9" t="str">
        <x:v>Utilizes AI-enabled tools, like Adobe Firefly, to create compelling ideas, prototypes, and quick design iterations</x:v>
      </x:c>
      <x:c r="P5" s="9" t="str">
        <x:v>https://www.linkedin.com/jobs/view/na-home-care-brand-expression-designer-at-procter-gamble-4457710058</x:v>
      </x:c>
      <x:c r="Q5" s="9" t="str"/>
      <x:c r="R5" s="9" t="str"/>
      <x:c r="S5" s="9" t="str"/>
      <x:c r="T5" s="9" t="str">
        <x:v>yes</x:v>
      </x:c>
      <x:c r="U5" s="9" t="str">
        <x:v>R000157227</x:v>
      </x:c>
    </x:row>
    <x:row r="6" ht="66" customHeight="1">
      <x:c r="A6" s="2" t="str">
        <x:v>J005</x:v>
      </x:c>
      <x:c r="B6" s="2" t="str">
        <x:v>C02</x:v>
      </x:c>
      <x:c r="C6" s="9" t="str">
        <x:v>Procter &amp; Gamble</x:v>
      </x:c>
      <x:c r="D6" s="2" t="str">
        <x:v>CPG/FMCG/beauty</x:v>
      </x:c>
      <x:c r="E6" s="9" t="str">
        <x:v>Procter &amp; Gamble</x:v>
      </x:c>
      <x:c r="F6" s="9" t="str">
        <x:v>Senior Editor</x:v>
      </x:c>
      <x:c r="G6" s="9" t="str">
        <x:v>Cincinnati, OH, USA</x:v>
      </x:c>
      <x:c r="H6" s="7"/>
      <x:c r="I6" s="9" t="str">
        <x:v>unknown</x:v>
      </x:c>
      <x:c r="J6" s="9" t="str">
        <x:v>appears open</x:v>
      </x:c>
      <x:c r="K6" s="8" t="n">
        <x:v>0</x:v>
      </x:c>
      <x:c r="L6" s="8" t="n">
        <x:v>1</x:v>
      </x:c>
      <x:c r="M6" s="8" t="n">
        <x:v>1</x:v>
      </x:c>
      <x:c r="N6" s="9" t="str">
        <x:v>B - full job-board/employer-posted JD</x:v>
      </x:c>
      <x:c r="O6" s="9" t="str">
        <x:v>Experience with AI-powered content creation tools (Adobe Firefly, Runway, or similar video generation platforms)</x:v>
      </x:c>
      <x:c r="P6" s="9" t="str">
        <x:v>https://www.linkedin.com/jobs/view/senior-editor-at-procter-gamble-4431992722</x:v>
      </x:c>
      <x:c r="Q6" s="9" t="str"/>
      <x:c r="R6" s="9" t="str"/>
      <x:c r="S6" s="9" t="str"/>
      <x:c r="T6" s="9" t="str">
        <x:v>yes</x:v>
      </x:c>
      <x:c r="U6" s="9" t="str">
        <x:v>R000154309</x:v>
      </x:c>
    </x:row>
    <x:row r="7" ht="66" customHeight="1">
      <x:c r="A7" s="2" t="str">
        <x:v>J006</x:v>
      </x:c>
      <x:c r="B7" s="2" t="str">
        <x:v>C02</x:v>
      </x:c>
      <x:c r="C7" s="9" t="str">
        <x:v>Procter &amp; Gamble</x:v>
      </x:c>
      <x:c r="D7" s="2" t="str">
        <x:v>CPG/FMCG/beauty</x:v>
      </x:c>
      <x:c r="E7" s="9" t="str">
        <x:v>Procter &amp; Gamble</x:v>
      </x:c>
      <x:c r="F7" s="9" t="str">
        <x:v>Digital Content Designer (Motion &amp; UI)</x:v>
      </x:c>
      <x:c r="G7" s="9" t="str">
        <x:v>Cincinnati, OH, USA</x:v>
      </x:c>
      <x:c r="H7" s="7" t="n">
        <x:v>46290</x:v>
      </x:c>
      <x:c r="I7" s="9" t="str">
        <x:v>2026-09-25</x:v>
      </x:c>
      <x:c r="J7" s="9" t="str">
        <x:v>appears open</x:v>
      </x:c>
      <x:c r="K7" s="8" t="n">
        <x:v>0</x:v>
      </x:c>
      <x:c r="L7" s="8" t="n">
        <x:v>0</x:v>
      </x:c>
      <x:c r="M7" s="8" t="n">
        <x:v>1</x:v>
      </x:c>
      <x:c r="N7" s="9" t="str">
        <x:v>B - full job-board/employer-posted JD</x:v>
      </x:c>
      <x:c r="O7" s="9" t="str">
        <x:v>Working knowledge of Adobe Firefly and curiosity for how AI is reshaping creative production.</x:v>
      </x:c>
      <x:c r="P7" s="9" t="str">
        <x:v>https://builtin.com/job/digital-content-designer-motion-ui/11373224</x:v>
      </x:c>
      <x:c r="Q7" s="9" t="str"/>
      <x:c r="R7" s="9" t="str"/>
      <x:c r="S7" s="9" t="str"/>
      <x:c r="T7" s="9" t="str">
        <x:v>yes</x:v>
      </x:c>
      <x:c r="U7" s="9" t="str">
        <x:v>R000159130</x:v>
      </x:c>
    </x:row>
    <x:row r="8" ht="66" customHeight="1">
      <x:c r="A8" s="2" t="str">
        <x:v>J007</x:v>
      </x:c>
      <x:c r="B8" s="2" t="str">
        <x:v>C02</x:v>
      </x:c>
      <x:c r="C8" s="9" t="str">
        <x:v>Procter &amp; Gamble</x:v>
      </x:c>
      <x:c r="D8" s="2" t="str">
        <x:v>CPG/FMCG/beauty</x:v>
      </x:c>
      <x:c r="E8" s="9" t="str">
        <x:v>Procter &amp; Gamble</x:v>
      </x:c>
      <x:c r="F8" s="9" t="str">
        <x:v>Senior Digital Design Manager, Laundry Care</x:v>
      </x:c>
      <x:c r="G8" s="9" t="str">
        <x:v>Cincinnati, OH, USA</x:v>
      </x:c>
      <x:c r="H8" s="7"/>
      <x:c r="I8" s="9" t="str">
        <x:v>unknown</x:v>
      </x:c>
      <x:c r="J8" s="9" t="str">
        <x:v>unknown</x:v>
      </x:c>
      <x:c r="K8" s="8" t="n">
        <x:v>0</x:v>
      </x:c>
      <x:c r="L8" s="8" t="n">
        <x:v>0</x:v>
      </x:c>
      <x:c r="M8" s="8" t="n">
        <x:v>1</x:v>
      </x:c>
      <x:c r="N8" s="9" t="str">
        <x:v>B - full job-board/employer-posted JD</x:v>
      </x:c>
      <x:c r="O8" s="9" t="str">
        <x:v>Generate and iterate using AI-powered tools (e.g. Adobe Firefly, Nano Banana) for ideation and execution</x:v>
      </x:c>
      <x:c r="P8" s="9" t="str">
        <x:v>https://alion.io/job/pg-careers-senior-digital-design-manager-laundry-care</x:v>
      </x:c>
      <x:c r="Q8" s="9" t="str"/>
      <x:c r="R8" s="9" t="str"/>
      <x:c r="S8" s="9" t="str"/>
      <x:c r="T8" s="9" t="str">
        <x:v>yes</x:v>
      </x:c>
      <x:c r="U8" s="9" t="str">
        <x:v>R000152881</x:v>
      </x:c>
    </x:row>
    <x:row r="9" ht="66" customHeight="1">
      <x:c r="A9" s="2" t="str">
        <x:v>J008</x:v>
      </x:c>
      <x:c r="B9" s="2" t="str">
        <x:v>C02</x:v>
      </x:c>
      <x:c r="C9" s="9" t="str">
        <x:v>Procter &amp; Gamble</x:v>
      </x:c>
      <x:c r="D9" s="2" t="str">
        <x:v>CPG/FMCG/beauty</x:v>
      </x:c>
      <x:c r="E9" s="9" t="str">
        <x:v>Procter &amp; Gamble</x:v>
      </x:c>
      <x:c r="F9" s="9" t="str">
        <x:v>Industrial Designer – Zevo &amp; Spruce Devices</x:v>
      </x:c>
      <x:c r="G9" s="9" t="str">
        <x:v>Cincinnati, OH, USA</x:v>
      </x:c>
      <x:c r="H9" s="7"/>
      <x:c r="I9" s="9" t="str">
        <x:v>unknown</x:v>
      </x:c>
      <x:c r="J9" s="9" t="str">
        <x:v>closed</x:v>
      </x:c>
      <x:c r="K9" s="8" t="n">
        <x:v>0</x:v>
      </x:c>
      <x:c r="L9" s="8" t="n">
        <x:v>0</x:v>
      </x:c>
      <x:c r="M9" s="8" t="n">
        <x:v>1</x:v>
      </x:c>
      <x:c r="N9" s="9" t="str">
        <x:v>B - full job-board/employer-posted JD</x:v>
      </x:c>
      <x:c r="O9" s="9" t="str">
        <x:v>Generative AI - controllable AI image generation (Adobe Suite/Firefly, Comfy UI, Vizcom)</x:v>
      </x:c>
      <x:c r="P9" s="9" t="str">
        <x:v>https://builtin.com/job/industrial-designer-zevo-spruce-devices/10193908</x:v>
      </x:c>
      <x:c r="Q9" s="9" t="str"/>
      <x:c r="R9" s="9" t="str"/>
      <x:c r="S9" s="9" t="str"/>
      <x:c r="T9" s="9" t="str">
        <x:v>yes</x:v>
      </x:c>
      <x:c r="U9" s="9" t="str">
        <x:v>R000153174</x:v>
      </x:c>
    </x:row>
    <x:row r="10" ht="66" customHeight="1">
      <x:c r="A10" s="2" t="str">
        <x:v>J009</x:v>
      </x:c>
      <x:c r="B10" s="2" t="str">
        <x:v>C02</x:v>
      </x:c>
      <x:c r="C10" s="9" t="str">
        <x:v>Procter &amp; Gamble</x:v>
      </x:c>
      <x:c r="D10" s="2" t="str">
        <x:v>CPG/FMCG/beauty</x:v>
      </x:c>
      <x:c r="E10" s="9" t="str">
        <x:v>Procter &amp; Gamble</x:v>
      </x:c>
      <x:c r="F10" s="9" t="str">
        <x:v>Brand Expression Designer for Habitat Care</x:v>
      </x:c>
      <x:c r="G10" s="9" t="str">
        <x:v>Mason, OH, USA</x:v>
      </x:c>
      <x:c r="H10" s="7" t="n">
        <x:v>46226</x:v>
      </x:c>
      <x:c r="I10" s="9" t="str">
        <x:v>2026-07-23</x:v>
      </x:c>
      <x:c r="J10" s="9" t="str">
        <x:v>unknown</x:v>
      </x:c>
      <x:c r="K10" s="8" t="n">
        <x:v>0</x:v>
      </x:c>
      <x:c r="L10" s="8" t="n">
        <x:v>0</x:v>
      </x:c>
      <x:c r="M10" s="8" t="n">
        <x:v>1</x:v>
      </x:c>
      <x:c r="N10" s="9" t="str">
        <x:v>B - full job-board/employer-posted JD</x:v>
      </x:c>
      <x:c r="O10" s="9" t="str">
        <x:v>Utilizes AI-enabled tools, like Adobe Firefly, to create compelling ideas, prototypes, and quick design iterations</x:v>
      </x:c>
      <x:c r="P10" s="9" t="str">
        <x:v>https://simplify.jobs/p/e65ca8a8-8f64-4d64-aa34-69f4d950d044/Brand-Expression-Designer</x:v>
      </x:c>
      <x:c r="Q10" s="9" t="str"/>
      <x:c r="R10" s="9" t="str"/>
      <x:c r="S10" s="9" t="str">
        <x:v>Title shortened to Brand Expression Designer on Simplify; named LinkedIn 4441591105 verifies Habitat Care.</x:v>
      </x:c>
      <x:c r="T10" s="9" t="str">
        <x:v>yes</x:v>
      </x:c>
      <x:c r="U10" s="9" t="str">
        <x:v>R000155846</x:v>
      </x:c>
    </x:row>
    <x:row r="11" ht="66" customHeight="1">
      <x:c r="A11" s="2" t="str">
        <x:v>J010</x:v>
      </x:c>
      <x:c r="B11" s="2" t="str">
        <x:v>C02</x:v>
      </x:c>
      <x:c r="C11" s="9" t="str">
        <x:v>Procter &amp; Gamble</x:v>
      </x:c>
      <x:c r="D11" s="2" t="str">
        <x:v>CPG/FMCG/beauty</x:v>
      </x:c>
      <x:c r="E11" s="9" t="str">
        <x:v>Procter &amp; Gamble</x:v>
      </x:c>
      <x:c r="F11" s="9" t="str">
        <x:v>Brand Expression Designer – Home Care Digital Commerce &amp; Social</x:v>
      </x:c>
      <x:c r="G11" s="9" t="str">
        <x:v>Cincinnati, OH, USA</x:v>
      </x:c>
      <x:c r="H11" s="7" t="n">
        <x:v>46289</x:v>
      </x:c>
      <x:c r="I11" s="9" t="str">
        <x:v>2026-09-24</x:v>
      </x:c>
      <x:c r="J11" s="9" t="str">
        <x:v>appears open; earlier version closed</x:v>
      </x:c>
      <x:c r="K11" s="8" t="n">
        <x:v>0</x:v>
      </x:c>
      <x:c r="L11" s="8" t="n">
        <x:v>0</x:v>
      </x:c>
      <x:c r="M11" s="8" t="n">
        <x:v>1</x:v>
      </x:c>
      <x:c r="N11" s="9" t="str">
        <x:v>B - full job-board/employer-posted JD</x:v>
      </x:c>
      <x:c r="O11" s="9" t="str">
        <x:v>Use AI‑powered tools (Adobe Firefly and beyond) to accelerate ideation, iteration, and execution</x:v>
      </x:c>
      <x:c r="P11" s="9" t="str">
        <x:v>https://emploive.com/jobs/4855210/brand-expression-designer-home-care-digital-commerce-social-procter-gamble</x:v>
      </x:c>
      <x:c r="Q11" s="9" t="str"/>
      <x:c r="R11" s="9" t="str"/>
      <x:c r="S11" s="9" t="str">
        <x:v>Conservatively collapsed probable repost R000148709 (Built In 9104073, removed 2026-05-29): nearly identical responsibilities, location and pay; new version specifies Home Care and motion requirements.</x:v>
      </x:c>
      <x:c r="T11" s="9" t="str">
        <x:v>yes</x:v>
      </x:c>
      <x:c r="U11" s="9" t="str">
        <x:v>R000159229; prior R000148709</x:v>
      </x:c>
    </x:row>
    <x:row r="12" ht="66" customHeight="1">
      <x:c r="A12" s="2" t="str">
        <x:v>J011</x:v>
      </x:c>
      <x:c r="B12" s="2" t="str">
        <x:v>C03</x:v>
      </x:c>
      <x:c r="C12" s="9" t="str">
        <x:v>Unilever</x:v>
      </x:c>
      <x:c r="D12" s="2" t="str">
        <x:v>CPG/FMCG/beauty</x:v>
      </x:c>
      <x:c r="E12" s="9" t="str">
        <x:v>Unilever</x:v>
      </x:c>
      <x:c r="F12" s="9" t="str">
        <x:v>Creative Designer</x:v>
      </x:c>
      <x:c r="G12" s="9" t="str">
        <x:v>Ho Chi Minh City, Vietnam</x:v>
      </x:c>
      <x:c r="H12" s="7"/>
      <x:c r="I12" s="9" t="str">
        <x:v>unknown</x:v>
      </x:c>
      <x:c r="J12" s="9" t="str">
        <x:v>closed</x:v>
      </x:c>
      <x:c r="K12" s="8" t="n">
        <x:v>0</x:v>
      </x:c>
      <x:c r="L12" s="8" t="n">
        <x:v>1</x:v>
      </x:c>
      <x:c r="M12" s="8" t="n">
        <x:v>1</x:v>
      </x:c>
      <x:c r="N12" s="9" t="str">
        <x:v>B - full job-board/employer-posted JD</x:v>
      </x:c>
      <x:c r="O12" s="9" t="str">
        <x:v>Familiarity with AI-powered design tools (e.g., Adobe Firefly, Midjourney, Figma AI, Canva, Leonardo, Runway ML, Khroma,..).</x:v>
      </x:c>
      <x:c r="P12" s="9" t="str">
        <x:v>https://vn.linkedin.com/jobs/view/creative-designer-at-unilever-4264424140</x:v>
      </x:c>
      <x:c r="Q12" s="9" t="str"/>
      <x:c r="R12" s="9" t="str"/>
      <x:c r="S12" s="9" t="str"/>
      <x:c r="T12" s="9" t="str">
        <x:v>yes</x:v>
      </x:c>
      <x:c r="U12" s="9" t="str">
        <x:v>LinkedIn:4264424140</x:v>
      </x:c>
    </x:row>
    <x:row r="13" ht="66" customHeight="1">
      <x:c r="A13" s="2" t="str">
        <x:v>J012</x:v>
      </x:c>
      <x:c r="B13" s="2" t="str">
        <x:v>C03</x:v>
      </x:c>
      <x:c r="C13" s="9" t="str">
        <x:v>Unilever</x:v>
      </x:c>
      <x:c r="D13" s="2" t="str">
        <x:v>CPG/FMCG/beauty</x:v>
      </x:c>
      <x:c r="E13" s="9" t="str">
        <x:v>Unilever</x:v>
      </x:c>
      <x:c r="F13" s="9" t="str">
        <x:v>Coordenador(a) de Designer Gráfico – Creative Production &amp; IA</x:v>
      </x:c>
      <x:c r="G13" s="9" t="str">
        <x:v>São Paulo, Brazil</x:v>
      </x:c>
      <x:c r="H13" s="7"/>
      <x:c r="I13" s="9" t="str">
        <x:v>unknown</x:v>
      </x:c>
      <x:c r="J13" s="9" t="str">
        <x:v>archived / status unknown</x:v>
      </x:c>
      <x:c r="K13" s="8" t="n">
        <x:v>0</x:v>
      </x:c>
      <x:c r="L13" s="8" t="n">
        <x:v>0</x:v>
      </x:c>
      <x:c r="M13" s="8" t="n">
        <x:v>1</x:v>
      </x:c>
      <x:c r="N13" s="9" t="str">
        <x:v>B - full job-board/employer-posted JD</x:v>
      </x:c>
      <x:c r="O13" s="9" t="str">
        <x:v>Domínio na criação, refinamento e gestão de prompts para plataformas de AI design tools, como Midjourney, Firefly</x:v>
      </x:c>
      <x:c r="P13" s="9" t="str">
        <x:v>https://br.indeed.com/viewjob?jk=b2606683c5200553</x:v>
      </x:c>
      <x:c r="Q13" s="9" t="str"/>
      <x:c r="R13" s="9" t="str"/>
      <x:c r="S13" s="9" t="str">
        <x:v>Exact Portuguese JD on Indeed; original LinkedIn redirects</x:v>
      </x:c>
      <x:c r="T13" s="9" t="str">
        <x:v>yes</x:v>
      </x:c>
      <x:c r="U13" s="9" t="str">
        <x:v>LinkedIn:4432967499; Indeed:b2606683c5200553</x:v>
      </x:c>
    </x:row>
    <x:row r="14" ht="66" customHeight="1">
      <x:c r="A14" s="2" t="str">
        <x:v>J013</x:v>
      </x:c>
      <x:c r="B14" s="2" t="str">
        <x:v>C04</x:v>
      </x:c>
      <x:c r="C14" s="9" t="str">
        <x:v>PepsiCo</x:v>
      </x:c>
      <x:c r="D14" s="2" t="str">
        <x:v>CPG/FMCG/beauty</x:v>
      </x:c>
      <x:c r="E14" s="9" t="str">
        <x:v>PepsiCo</x:v>
      </x:c>
      <x:c r="F14" s="9" t="str">
        <x:v>Brand Design Manager (Gatorade)</x:v>
      </x:c>
      <x:c r="G14" s="9" t="str">
        <x:v>Chicago, IL, USA</x:v>
      </x:c>
      <x:c r="H14" s="7"/>
      <x:c r="I14" s="9" t="str">
        <x:v>unknown</x:v>
      </x:c>
      <x:c r="J14" s="9" t="str">
        <x:v>appears open</x:v>
      </x:c>
      <x:c r="K14" s="8" t="n">
        <x:v>0</x:v>
      </x:c>
      <x:c r="L14" s="8" t="n">
        <x:v>0</x:v>
      </x:c>
      <x:c r="M14" s="8" t="n">
        <x:v>1</x:v>
      </x:c>
      <x:c r="N14" s="9" t="str">
        <x:v>B - full job-board/employer-posted JD</x:v>
      </x:c>
      <x:c r="O14" s="9" t="str">
        <x:v>Advanced experience with Adobe Creative Suite and Firefly software</x:v>
      </x:c>
      <x:c r="P14" s="9" t="str">
        <x:v>https://www.pepsicojobs.com/main/jobs/468190</x:v>
      </x:c>
      <x:c r="Q14" s="9" t="str">
        <x:v>https://www.linkedin.com/jobs/view/brand-design-manager-at-pepsico-4448473958</x:v>
      </x:c>
      <x:c r="R14" s="9" t="str"/>
      <x:c r="S14" s="9" t="str"/>
      <x:c r="T14" s="9" t="str">
        <x:v>yes</x:v>
      </x:c>
      <x:c r="U14" s="9" t="str">
        <x:v>468190</x:v>
      </x:c>
    </x:row>
    <x:row r="15" ht="66" customHeight="1">
      <x:c r="A15" s="2" t="str">
        <x:v>J014</x:v>
      </x:c>
      <x:c r="B15" s="2" t="str">
        <x:v>C04</x:v>
      </x:c>
      <x:c r="C15" s="9" t="str">
        <x:v>PepsiCo</x:v>
      </x:c>
      <x:c r="D15" s="2" t="str">
        <x:v>CPG/FMCG/beauty</x:v>
      </x:c>
      <x:c r="E15" s="9" t="str">
        <x:v>PepsiCo</x:v>
      </x:c>
      <x:c r="F15" s="9" t="str">
        <x:v>Senior Designer (Global Foods)</x:v>
      </x:c>
      <x:c r="G15" s="9" t="str">
        <x:v>New York, NY, USA</x:v>
      </x:c>
      <x:c r="H15" s="7"/>
      <x:c r="I15" s="9" t="str">
        <x:v>unknown</x:v>
      </x:c>
      <x:c r="J15" s="9" t="str">
        <x:v>unknown</x:v>
      </x:c>
      <x:c r="K15" s="8" t="n">
        <x:v>0</x:v>
      </x:c>
      <x:c r="L15" s="8" t="n">
        <x:v>0</x:v>
      </x:c>
      <x:c r="M15" s="8" t="n">
        <x:v>1</x:v>
      </x:c>
      <x:c r="N15" s="9" t="str">
        <x:v>B - full job-board/employer-posted JD</x:v>
      </x:c>
      <x:c r="O15" s="9" t="str">
        <x:v>Advanced experience with Adobe Creative Suite and Firefly software</x:v>
      </x:c>
      <x:c r="P15" s="9" t="str">
        <x:v>https://jobs.weekday.works/pepsico-senior-designer</x:v>
      </x:c>
      <x:c r="Q15" s="9" t="str"/>
      <x:c r="R15" s="9" t="str"/>
      <x:c r="S15" s="9" t="str">
        <x:v>No requisition ID; kept separate from Plano role because Global Foods scope, New York location and $84k–$140k pay differ.</x:v>
      </x:c>
      <x:c r="T15" s="9" t="str">
        <x:v>yes</x:v>
      </x:c>
      <x:c r="U15" s="9" t="str"/>
    </x:row>
    <x:row r="16" ht="66" customHeight="1">
      <x:c r="A16" s="2" t="str">
        <x:v>J015</x:v>
      </x:c>
      <x:c r="B16" s="2" t="str">
        <x:v>C04</x:v>
      </x:c>
      <x:c r="C16" s="9" t="str">
        <x:v>PepsiCo</x:v>
      </x:c>
      <x:c r="D16" s="2" t="str">
        <x:v>CPG/FMCG/beauty</x:v>
      </x:c>
      <x:c r="E16" s="9" t="str">
        <x:v>PepsiCo</x:v>
      </x:c>
      <x:c r="F16" s="9" t="str">
        <x:v>Senior Brand Designer (Foods)</x:v>
      </x:c>
      <x:c r="G16" s="9" t="str">
        <x:v>Plano, TX, USA</x:v>
      </x:c>
      <x:c r="H16" s="7" t="n">
        <x:v>46142</x:v>
      </x:c>
      <x:c r="I16" s="9" t="str">
        <x:v>2026-04-30</x:v>
      </x:c>
      <x:c r="J16" s="9" t="str">
        <x:v>closed</x:v>
      </x:c>
      <x:c r="K16" s="8" t="n">
        <x:v>0</x:v>
      </x:c>
      <x:c r="L16" s="8" t="n">
        <x:v>0</x:v>
      </x:c>
      <x:c r="M16" s="8" t="n">
        <x:v>1</x:v>
      </x:c>
      <x:c r="N16" s="9" t="str">
        <x:v>B - full job-board/employer-posted JD</x:v>
      </x:c>
      <x:c r="O16" s="9" t="str">
        <x:v>Advanced experience with Adobe Creative Suite and Firefly software</x:v>
      </x:c>
      <x:c r="P16" s="9" t="str">
        <x:v>https://jobs.joinimagine.com/companies/pepsico/jobs/76822971-senior-brand-designer</x:v>
      </x:c>
      <x:c r="Q16" s="9" t="str"/>
      <x:c r="R16" s="9" t="str"/>
      <x:c r="S16" s="9" t="str">
        <x:v>Employer requisition ID unavailable; deduped matching designproject/Teal mirrors. Foods scope, Plano and $94k–$156k pay distinguish from NY Global Foods.</x:v>
      </x:c>
      <x:c r="T16" s="9" t="str">
        <x:v>yes</x:v>
      </x:c>
      <x:c r="U16" s="9" t="str">
        <x:v>Getro:76822971</x:v>
      </x:c>
    </x:row>
    <x:row r="17" ht="66" customHeight="1">
      <x:c r="A17" s="2" t="str">
        <x:v>J016</x:v>
      </x:c>
      <x:c r="B17" s="2" t="str">
        <x:v>C04</x:v>
      </x:c>
      <x:c r="C17" s="9" t="str">
        <x:v>PepsiCo</x:v>
      </x:c>
      <x:c r="D17" s="2" t="str">
        <x:v>CPG/FMCG/beauty</x:v>
      </x:c>
      <x:c r="E17" s="9" t="str">
        <x:v>PepsiCo</x:v>
      </x:c>
      <x:c r="F17" s="9" t="str">
        <x:v>Associate Brand Designer (Foods)</x:v>
      </x:c>
      <x:c r="G17" s="9" t="str">
        <x:v>Plano, TX, USA</x:v>
      </x:c>
      <x:c r="H17" s="7"/>
      <x:c r="I17" s="9" t="str">
        <x:v>unknown</x:v>
      </x:c>
      <x:c r="J17" s="9" t="str">
        <x:v>closed</x:v>
      </x:c>
      <x:c r="K17" s="8" t="n">
        <x:v>0</x:v>
      </x:c>
      <x:c r="L17" s="8" t="n">
        <x:v>0</x:v>
      </x:c>
      <x:c r="M17" s="8" t="n">
        <x:v>1</x:v>
      </x:c>
      <x:c r="N17" s="9" t="str">
        <x:v>B - full job-board/employer-posted JD</x:v>
      </x:c>
      <x:c r="O17" s="9" t="str">
        <x:v>Proficiency in Adobe Creative Suite and Firefly software.</x:v>
      </x:c>
      <x:c r="P17" s="9" t="str">
        <x:v>https://jobs.joinimagine.com/companies/pepsico/jobs/72101829-associate-brand-designer</x:v>
      </x:c>
      <x:c r="Q17" s="9" t="str"/>
      <x:c r="R17" s="9" t="str"/>
      <x:c r="S17" s="9" t="str"/>
      <x:c r="T17" s="9" t="str">
        <x:v>yes</x:v>
      </x:c>
      <x:c r="U17" s="9" t="str">
        <x:v>Getro:72101829; LinkedIn:4390011399</x:v>
      </x:c>
    </x:row>
    <x:row r="18" ht="66" customHeight="1">
      <x:c r="A18" s="2" t="str">
        <x:v>J017</x:v>
      </x:c>
      <x:c r="B18" s="2" t="str">
        <x:v>C04</x:v>
      </x:c>
      <x:c r="C18" s="9" t="str">
        <x:v>PepsiCo</x:v>
      </x:c>
      <x:c r="D18" s="2" t="str">
        <x:v>CPG/FMCG/beauty</x:v>
      </x:c>
      <x:c r="E18" s="9" t="str">
        <x:v>PepsiCo</x:v>
      </x:c>
      <x:c r="F18" s="9" t="str">
        <x:v>Senior Designer (Food Ventures / Alvalle)</x:v>
      </x:c>
      <x:c r="G18" s="9" t="str">
        <x:v>Barcelona / Vitoria-Gasteiz, Spain</x:v>
      </x:c>
      <x:c r="H18" s="7"/>
      <x:c r="I18" s="9" t="str">
        <x:v>unknown</x:v>
      </x:c>
      <x:c r="J18" s="9" t="str">
        <x:v>closed</x:v>
      </x:c>
      <x:c r="K18" s="8" t="n">
        <x:v>0</x:v>
      </x:c>
      <x:c r="L18" s="8" t="n">
        <x:v>0</x:v>
      </x:c>
      <x:c r="M18" s="8" t="n">
        <x:v>1</x:v>
      </x:c>
      <x:c r="N18" s="9" t="str">
        <x:v>B - full job-board/employer-posted JD</x:v>
      </x:c>
      <x:c r="O18" s="9" t="str">
        <x:v>Advanced experience with Adobe Creative Suite and Firefly software</x:v>
      </x:c>
      <x:c r="P18" s="9" t="str">
        <x:v>https://jobs.joinimagine.com/companies/pepsico/jobs/66669596-senior-designer-food-ventures</x:v>
      </x:c>
      <x:c r="Q18" s="9" t="str"/>
      <x:c r="R18" s="9" t="str"/>
      <x:c r="S18" s="9" t="str">
        <x:v>Multiple Spain locations collapsed to one job; employer requisition ID unavailable.</x:v>
      </x:c>
      <x:c r="T18" s="9" t="str">
        <x:v>yes</x:v>
      </x:c>
      <x:c r="U18" s="9" t="str">
        <x:v>Getro:66669596</x:v>
      </x:c>
    </x:row>
    <x:row r="19" ht="66" customHeight="1">
      <x:c r="A19" s="2" t="str">
        <x:v>J018</x:v>
      </x:c>
      <x:c r="B19" s="2" t="str">
        <x:v>C05</x:v>
      </x:c>
      <x:c r="C19" s="9" t="str">
        <x:v>Coca-Cola</x:v>
      </x:c>
      <x:c r="D19" s="2" t="str">
        <x:v>CPG/FMCG/beauty</x:v>
      </x:c>
      <x:c r="E19" s="9" t="str">
        <x:v>The Coca-Cola Company</x:v>
      </x:c>
      <x:c r="F19" s="9" t="str">
        <x:v>Senior Director, Global StudioX – Workflows and Content Solutions</x:v>
      </x:c>
      <x:c r="G19" s="9" t="str">
        <x:v>Atlanta, GA, USA</x:v>
      </x:c>
      <x:c r="H19" s="7"/>
      <x:c r="I19" s="9" t="str">
        <x:v>unknown</x:v>
      </x:c>
      <x:c r="J19" s="9" t="str">
        <x:v>closed</x:v>
      </x:c>
      <x:c r="K19" s="8" t="n">
        <x:v>0</x:v>
      </x:c>
      <x:c r="L19" s="8" t="n">
        <x:v>1</x:v>
      </x:c>
      <x:c r="M19" s="8" t="n">
        <x:v>0</x:v>
      </x:c>
      <x:c r="N19" s="9" t="str">
        <x:v>B - full job-board/employer-posted JD</x:v>
      </x:c>
      <x:c r="O19" s="9" t="str">
        <x:v>Proficiency in Adobe Creative Suite blended with deep experience in GenAI tools (Midjourney, Runway, ChatGPT/Claude/Nano Banana, etc.).</x:v>
      </x:c>
      <x:c r="P19" s="9" t="str">
        <x:v>https://www.linkedin.com/jobs/view/senior-director-global-studiox-%E2%80%93-workflows-and-content-solutions-at-the-coca-cola-company-4420296536</x:v>
      </x:c>
      <x:c r="Q19" s="9" t="str"/>
      <x:c r="R19" s="9" t="str"/>
      <x:c r="S19" s="9" t="str"/>
      <x:c r="T19" s="9" t="str">
        <x:v>yes</x:v>
      </x:c>
      <x:c r="U19" s="9" t="str">
        <x:v>R-138921</x:v>
      </x:c>
    </x:row>
    <x:row r="20" ht="66" customHeight="1">
      <x:c r="A20" s="2" t="str">
        <x:v>J019</x:v>
      </x:c>
      <x:c r="B20" s="2" t="str">
        <x:v>C05</x:v>
      </x:c>
      <x:c r="C20" s="9" t="str">
        <x:v>Coca-Cola</x:v>
      </x:c>
      <x:c r="D20" s="2" t="str">
        <x:v>CPG/FMCG/beauty</x:v>
      </x:c>
      <x:c r="E20" s="9" t="str">
        <x:v>The Coca-Cola Company</x:v>
      </x:c>
      <x:c r="F20" s="9" t="str">
        <x:v>Creative Technologist Manager</x:v>
      </x:c>
      <x:c r="G20" s="9" t="str">
        <x:v>Atlanta, GA, USA</x:v>
      </x:c>
      <x:c r="H20" s="7" t="n">
        <x:v>46098</x:v>
      </x:c>
      <x:c r="I20" s="9" t="str">
        <x:v>2026-03-17</x:v>
      </x:c>
      <x:c r="J20" s="9" t="str">
        <x:v>closed</x:v>
      </x:c>
      <x:c r="K20" s="8" t="n">
        <x:v>0</x:v>
      </x:c>
      <x:c r="L20" s="8" t="n">
        <x:v>0</x:v>
      </x:c>
      <x:c r="M20" s="8" t="n">
        <x:v>1</x:v>
      </x:c>
      <x:c r="N20" s="9" t="str">
        <x:v>B - full job-board/employer-posted JD</x:v>
      </x:c>
      <x:c r="O20" s="9" t="str">
        <x:v>Proficiency with Adobe Creative Cloud, Adobe Firefly, GenStudio, and other generative AI platforms.</x:v>
      </x:c>
      <x:c r="P20" s="9" t="str">
        <x:v>https://www.themuse.com/jobs/thecocacolacompany/creative-technologist-manager-8f4437</x:v>
      </x:c>
      <x:c r="Q20" s="9" t="str"/>
      <x:c r="R20" s="9" t="str"/>
      <x:c r="S20" s="9" t="str">
        <x:v>Distinct manager / hands-on adaptation role requiring 2+ years; no employer requisition ID.</x:v>
      </x:c>
      <x:c r="T20" s="9" t="str">
        <x:v>yes</x:v>
      </x:c>
      <x:c r="U20" s="9" t="str">
        <x:v>TheMuse:creative-technologist-manager-8f4437</x:v>
      </x:c>
    </x:row>
    <x:row r="21" ht="66" customHeight="1">
      <x:c r="A21" s="2" t="str">
        <x:v>J020</x:v>
      </x:c>
      <x:c r="B21" s="2" t="str">
        <x:v>C05</x:v>
      </x:c>
      <x:c r="C21" s="9" t="str">
        <x:v>Coca-Cola</x:v>
      </x:c>
      <x:c r="D21" s="2" t="str">
        <x:v>CPG/FMCG/beauty</x:v>
      </x:c>
      <x:c r="E21" s="9" t="str">
        <x:v>The Coca-Cola Company</x:v>
      </x:c>
      <x:c r="F21" s="9" t="str">
        <x:v>Creative Adaptation Technologist Senior Manager</x:v>
      </x:c>
      <x:c r="G21" s="9" t="str">
        <x:v>Atlanta, GA, USA</x:v>
      </x:c>
      <x:c r="H21" s="7" t="n">
        <x:v>46093</x:v>
      </x:c>
      <x:c r="I21" s="9" t="str">
        <x:v>2026-03-12</x:v>
      </x:c>
      <x:c r="J21" s="9" t="str">
        <x:v>closed</x:v>
      </x:c>
      <x:c r="K21" s="8" t="n">
        <x:v>0</x:v>
      </x:c>
      <x:c r="L21" s="8" t="n">
        <x:v>0</x:v>
      </x:c>
      <x:c r="M21" s="8" t="n">
        <x:v>1</x:v>
      </x:c>
      <x:c r="N21" s="9" t="str">
        <x:v>B - full job-board/employer-posted JD</x:v>
      </x:c>
      <x:c r="O21" s="9" t="str">
        <x:v>Proficiency with Adobe Creative Cloud, Adobe Firefly, GenStudio, and other generative AI platforms.</x:v>
      </x:c>
      <x:c r="P21" s="9" t="str">
        <x:v>https://digitalassetmanagementnews.org/job/creative-adaptation-technologist-senior-manager/</x:v>
      </x:c>
      <x:c r="Q21" s="9" t="str"/>
      <x:c r="R21" s="9" t="str"/>
      <x:c r="S21" s="9" t="str">
        <x:v>Distinct team-leading content adaptation/activation role requiring 7+ years marketing; not same as style-ID senior manager or hands-on manager.</x:v>
      </x:c>
      <x:c r="T21" s="9" t="str">
        <x:v>yes</x:v>
      </x:c>
      <x:c r="U21" s="9" t="str">
        <x:v>DAMNews:DN-JB-2769</x:v>
      </x:c>
    </x:row>
    <x:row r="22" ht="66" customHeight="1">
      <x:c r="A22" s="2" t="str">
        <x:v>J021</x:v>
      </x:c>
      <x:c r="B22" s="2" t="str">
        <x:v>C05</x:v>
      </x:c>
      <x:c r="C22" s="9" t="str">
        <x:v>Coca-Cola</x:v>
      </x:c>
      <x:c r="D22" s="2" t="str">
        <x:v>CPG/FMCG/beauty</x:v>
      </x:c>
      <x:c r="E22" s="9" t="str">
        <x:v>The Coca-Cola Company</x:v>
      </x:c>
      <x:c r="F22" s="9" t="str">
        <x:v>Senior Director I, Creative Operations</x:v>
      </x:c>
      <x:c r="G22" s="9" t="str">
        <x:v>Atlanta, GA, USA</x:v>
      </x:c>
      <x:c r="H22" s="7"/>
      <x:c r="I22" s="9" t="str">
        <x:v>unknown</x:v>
      </x:c>
      <x:c r="J22" s="9" t="str">
        <x:v>closed</x:v>
      </x:c>
      <x:c r="K22" s="8" t="n">
        <x:v>0</x:v>
      </x:c>
      <x:c r="L22" s="8" t="n">
        <x:v>0</x:v>
      </x:c>
      <x:c r="M22" s="8" t="n">
        <x:v>1</x:v>
      </x:c>
      <x:c r="N22" s="9" t="str">
        <x:v>B - full job-board/employer-posted JD</x:v>
      </x:c>
      <x:c r="O22" s="9" t="str">
        <x:v>Proven expertise in leading teams and driving adoption of creative technology platforms (Adobe Creative Cloud, Fizzion, Firefly, GenStudio, etc.).</x:v>
      </x:c>
      <x:c r="P22" s="9" t="str">
        <x:v>https://builtin.com/job/senior-director-i-creative-operations/8229036</x:v>
      </x:c>
      <x:c r="Q22" s="9" t="str"/>
      <x:c r="R22" s="9" t="str"/>
      <x:c r="S22" s="9" t="str"/>
      <x:c r="T22" s="9" t="str">
        <x:v>yes</x:v>
      </x:c>
      <x:c r="U22" s="9" t="str">
        <x:v>BuiltIn:8229036</x:v>
      </x:c>
    </x:row>
    <x:row r="23" ht="66" customHeight="1">
      <x:c r="A23" s="2" t="str">
        <x:v>J022</x:v>
      </x:c>
      <x:c r="B23" s="2" t="str">
        <x:v>C07</x:v>
      </x:c>
      <x:c r="C23" s="9" t="str">
        <x:v>L’Oréal</x:v>
      </x:c>
      <x:c r="D23" s="2" t="str">
        <x:v>CPG/FMCG/beauty</x:v>
      </x:c>
      <x:c r="E23" s="9" t="str">
        <x:v>L’Oréal / SalonCentric</x:v>
      </x:c>
      <x:c r="F23" s="9" t="str">
        <x:v>AI Production Designer – SalonCentric</x:v>
      </x:c>
      <x:c r="G23" s="9" t="str">
        <x:v>Clearwater, FL, USA</x:v>
      </x:c>
      <x:c r="H23" s="7"/>
      <x:c r="I23" s="9" t="str">
        <x:v>unknown</x:v>
      </x:c>
      <x:c r="J23" s="9" t="str">
        <x:v>archived / status unknown</x:v>
      </x:c>
      <x:c r="K23" s="8" t="n">
        <x:v>0</x:v>
      </x:c>
      <x:c r="L23" s="8" t="n">
        <x:v>1</x:v>
      </x:c>
      <x:c r="M23" s="8" t="n">
        <x:v>1</x:v>
      </x:c>
      <x:c r="N23" s="9" t="str">
        <x:v>B - full job-board/employer-posted JD</x:v>
      </x:c>
      <x:c r="O23" s="9" t="str">
        <x:v>Proven experience with generative AI platforms (e.g., Midjourney, Stable Diffusion, DALL-E, RunwayML, Adobe Firefly, Jasper Art, or similar).</x:v>
      </x:c>
      <x:c r="P23" s="9" t="str">
        <x:v>https://www.linkedin.com/jobs/view/ai-production-designer-saloncentric-at-l-or%C3%A9al-4396376184</x:v>
      </x:c>
      <x:c r="Q23" s="9" t="str"/>
      <x:c r="R23" s="9" t="str"/>
      <x:c r="S23" s="9" t="str"/>
      <x:c r="T23" s="9" t="str">
        <x:v>yes</x:v>
      </x:c>
      <x:c r="U23" s="9" t="str">
        <x:v>LinkedIn:4396376184</x:v>
      </x:c>
    </x:row>
    <x:row r="24" ht="66" customHeight="1">
      <x:c r="A24" s="2" t="str">
        <x:v>J023</x:v>
      </x:c>
      <x:c r="B24" s="2" t="str">
        <x:v>C07</x:v>
      </x:c>
      <x:c r="C24" s="9" t="str">
        <x:v>L’Oréal</x:v>
      </x:c>
      <x:c r="D24" s="2" t="str">
        <x:v>CPG/FMCG/beauty</x:v>
      </x:c>
      <x:c r="E24" s="9" t="str">
        <x:v>L’Oréal / Kiehl’s</x:v>
      </x:c>
      <x:c r="F24" s="9" t="str">
        <x:v>Manager – Content Designer (Kiehl’s)</x:v>
      </x:c>
      <x:c r="G24" s="9" t="str">
        <x:v>New York, NY, USA</x:v>
      </x:c>
      <x:c r="H24" s="7" t="n">
        <x:v>46284</x:v>
      </x:c>
      <x:c r="I24" s="9" t="str">
        <x:v>2026-09-19</x:v>
      </x:c>
      <x:c r="J24" s="9" t="str">
        <x:v>appears open</x:v>
      </x:c>
      <x:c r="K24" s="8" t="n">
        <x:v>0</x:v>
      </x:c>
      <x:c r="L24" s="8" t="n">
        <x:v>0</x:v>
      </x:c>
      <x:c r="M24" s="8" t="n">
        <x:v>1</x:v>
      </x:c>
      <x:c r="N24" s="9" t="str">
        <x:v>B - full job-board/employer-posted JD</x:v>
      </x:c>
      <x:c r="O24" s="9" t="str">
        <x:v>Experience using generative AI tools (such as Adobe Firefly, Midjourney, ChatGPT, or similar platforms)</x:v>
      </x:c>
      <x:c r="P24" s="9" t="str">
        <x:v>https://jobs.joinimagine.com/companies/loreal-2/jobs/93737512-manager-content-designer-kiehl-s</x:v>
      </x:c>
      <x:c r="Q24" s="9" t="str"/>
      <x:c r="R24" s="9" t="str"/>
      <x:c r="S24" s="9" t="str"/>
      <x:c r="T24" s="9" t="str">
        <x:v>yes</x:v>
      </x:c>
      <x:c r="U24" s="9" t="str">
        <x:v>Getro:93737512</x:v>
      </x:c>
    </x:row>
    <x:row r="25" ht="66" customHeight="1">
      <x:c r="A25" s="2" t="str">
        <x:v>J024</x:v>
      </x:c>
      <x:c r="B25" s="2" t="str">
        <x:v>C13</x:v>
      </x:c>
      <x:c r="C25" s="9" t="str">
        <x:v>Ferrero</x:v>
      </x:c>
      <x:c r="D25" s="2" t="str">
        <x:v>CPG/FMCG/beauty</x:v>
      </x:c>
      <x:c r="E25" s="9" t="str">
        <x:v>Ferrero</x:v>
      </x:c>
      <x:c r="F25" s="9" t="str">
        <x:v>Digital &amp; AI Content Activation Manager</x:v>
      </x:c>
      <x:c r="G25" s="9" t="str">
        <x:v>Kirchberg, Luxembourg</x:v>
      </x:c>
      <x:c r="H25" s="7"/>
      <x:c r="I25" s="9" t="str">
        <x:v>unknown</x:v>
      </x:c>
      <x:c r="J25" s="9" t="str">
        <x:v>closed</x:v>
      </x:c>
      <x:c r="K25" s="8" t="n">
        <x:v>0</x:v>
      </x:c>
      <x:c r="L25" s="8" t="n">
        <x:v>1</x:v>
      </x:c>
      <x:c r="M25" s="8" t="n">
        <x:v>0</x:v>
      </x:c>
      <x:c r="N25" s="9" t="str">
        <x:v>B - full job-board/employer-posted JD</x:v>
      </x:c>
      <x:c r="O25" s="9" t="str">
        <x:v>Gen AI applications such as Dall.E-3, Runway, Adobe, MidJourney, Flux, and ChatGPT</x:v>
      </x:c>
      <x:c r="P25" s="9" t="str">
        <x:v>https://lu.linkedin.com/jobs/view/digital-ai-content-activation-manager-at-ferrero-4212335638</x:v>
      </x:c>
      <x:c r="Q25" s="9" t="str"/>
      <x:c r="R25" s="9" t="str"/>
      <x:c r="S25" s="9" t="str">
        <x:v>Generic Adobe not counted as Firefly.</x:v>
      </x:c>
      <x:c r="T25" s="9" t="str">
        <x:v>yes</x:v>
      </x:c>
      <x:c r="U25" s="9" t="str">
        <x:v>LinkedIn:4212335638</x:v>
      </x:c>
    </x:row>
    <x:row r="26" ht="66" customHeight="1">
      <x:c r="A26" s="2" t="str">
        <x:v>J025</x:v>
      </x:c>
      <x:c r="B26" s="2" t="str">
        <x:v>C21</x:v>
      </x:c>
      <x:c r="C26" s="9" t="str">
        <x:v>Colgate-Palmolive</x:v>
      </x:c>
      <x:c r="D26" s="2" t="str">
        <x:v>CPG/FMCG/beauty</x:v>
      </x:c>
      <x:c r="E26" s="9" t="str">
        <x:v>Colgate-Palmolive</x:v>
      </x:c>
      <x:c r="F26" s="9" t="str">
        <x:v>Senior Graphic Designer / Fractional AI-Integrated Design Consultant</x:v>
      </x:c>
      <x:c r="G26" s="9" t="str">
        <x:v>Remote, NYC-accessible, USA</x:v>
      </x:c>
      <x:c r="H26" s="7" t="n">
        <x:v>45983</x:v>
      </x:c>
      <x:c r="I26" s="9" t="str">
        <x:v>2025-11-22</x:v>
      </x:c>
      <x:c r="J26" s="9" t="str">
        <x:v>closed</x:v>
      </x:c>
      <x:c r="K26" s="8" t="n">
        <x:v>0</x:v>
      </x:c>
      <x:c r="L26" s="8" t="n">
        <x:v>0</x:v>
      </x:c>
      <x:c r="M26" s="8" t="n">
        <x:v>1</x:v>
      </x:c>
      <x:c r="N26" s="9" t="str">
        <x:v>B - full job-board/employer-posted JD</x:v>
      </x:c>
      <x:c r="O26" s="9" t="str">
        <x:v>Prompt Architecture, Negative Prompting, and Iterative Model Refinement across key platforms (e.g., Nano Banana, DALL·E, Firefly).</x:v>
      </x:c>
      <x:c r="P26" s="9" t="str">
        <x:v>https://www.fractionaljobs.io/jobs/senior-graphic-designer-at-colgate-palmolive</x:v>
      </x:c>
      <x:c r="Q26" s="9" t="str"/>
      <x:c r="R26" s="9" t="str"/>
      <x:c r="S26" s="9" t="str">
        <x:v>Syndicated full job; page has generic private-company template boilerplate, but employer named in full JD and title.</x:v>
      </x:c>
      <x:c r="T26" s="9" t="str">
        <x:v>yes</x:v>
      </x:c>
      <x:c r="U26" s="9" t="str"/>
    </x:row>
    <x:row r="27" ht="66" customHeight="1">
      <x:c r="A27" s="2" t="str">
        <x:v>J026</x:v>
      </x:c>
      <x:c r="B27" s="2" t="str">
        <x:v>C22</x:v>
      </x:c>
      <x:c r="C27" s="9" t="str">
        <x:v>Kimberly-Clark</x:v>
      </x:c>
      <x:c r="D27" s="2" t="str">
        <x:v>CPG/FMCG/beauty</x:v>
      </x:c>
      <x:c r="E27" s="9" t="str">
        <x:v>Kimberly-Clark</x:v>
      </x:c>
      <x:c r="F27" s="9" t="str">
        <x:v>Design Manager, Enterprise Markets</x:v>
      </x:c>
      <x:c r="G27" s="9" t="str">
        <x:v>Istanbul, Turkey / remote</x:v>
      </x:c>
      <x:c r="H27" s="7"/>
      <x:c r="I27" s="9" t="str">
        <x:v>unknown</x:v>
      </x:c>
      <x:c r="J27" s="9" t="str">
        <x:v>closed</x:v>
      </x:c>
      <x:c r="K27" s="8" t="n">
        <x:v>0</x:v>
      </x:c>
      <x:c r="L27" s="8" t="n">
        <x:v>0</x:v>
      </x:c>
      <x:c r="M27" s="8" t="n">
        <x:v>1</x:v>
      </x:c>
      <x:c r="N27" s="9" t="str">
        <x:v>B - full job-board/employer-posted JD</x:v>
      </x:c>
      <x:c r="O27" s="9" t="str">
        <x:v>Preference for those with experience in AI image generation tools (Adobe Firefly and Midjourney)</x:v>
      </x:c>
      <x:c r="P27" s="9" t="str">
        <x:v>https://builtin.com/job/design-manager-enterprise-markets/3635748</x:v>
      </x:c>
      <x:c r="Q27" s="9" t="str"/>
      <x:c r="R27" s="9" t="str"/>
      <x:c r="S27" s="9" t="str"/>
      <x:c r="T27" s="9" t="str">
        <x:v>yes</x:v>
      </x:c>
      <x:c r="U27" s="9" t="str">
        <x:v>BuiltIn:3635748</x:v>
      </x:c>
    </x:row>
    <x:row r="28" ht="66" customHeight="1">
      <x:c r="A28" s="2" t="str">
        <x:v>J027</x:v>
      </x:c>
      <x:c r="B28" s="2" t="str">
        <x:v>C23</x:v>
      </x:c>
      <x:c r="C28" s="9" t="str">
        <x:v>Reckitt</x:v>
      </x:c>
      <x:c r="D28" s="2" t="str">
        <x:v>CPG/FMCG/beauty</x:v>
      </x:c>
      <x:c r="E28" s="9" t="str">
        <x:v>Reckitt</x:v>
      </x:c>
      <x:c r="F28" s="9" t="str">
        <x:v>AI Content &amp; Workflow Executive (6 month contract)</x:v>
      </x:c>
      <x:c r="G28" s="9" t="str">
        <x:v>Dubai, UAE</x:v>
      </x:c>
      <x:c r="H28" s="7"/>
      <x:c r="I28" s="9" t="str">
        <x:v>unknown</x:v>
      </x:c>
      <x:c r="J28" s="9" t="str">
        <x:v>closed on employer site</x:v>
      </x:c>
      <x:c r="K28" s="8" t="n">
        <x:v>1</x:v>
      </x:c>
      <x:c r="L28" s="8" t="n">
        <x:v>1</x:v>
      </x:c>
      <x:c r="M28" s="8" t="n">
        <x:v>0</x:v>
      </x:c>
      <x:c r="N28" s="9" t="str">
        <x:v>B - full job-board/employer-posted JD</x:v>
      </x:c>
      <x:c r="O28" s="9" t="str">
        <x:v>hands-on with current image and video tools (for example Higgsfield, Midjourney, Runway, Kling, Veo, Sora, FLUX, ElevenLabs)</x:v>
      </x:c>
      <x:c r="P28" s="9" t="str">
        <x:v>https://jobxdubai.com/jobs/reckitt-1404883133-ai-content-workflow-executive-6-month-contract</x:v>
      </x:c>
      <x:c r="Q28" s="9" t="str">
        <x:v>https://ae.indeed.com/viewjob?jk=ff7a888d6273704e</x:v>
      </x:c>
      <x:c r="R28" s="9" t="str"/>
      <x:c r="S28" s="9" t="str">
        <x:v>Employer ATS page now says position filled; complete mirror preserves JD. No Firefly named.</x:v>
      </x:c>
      <x:c r="T28" s="9" t="str">
        <x:v>yes</x:v>
      </x:c>
      <x:c r="U28" s="9" t="str">
        <x:v>ATS-page:1404883133; LinkedIn:4469911174</x:v>
      </x:c>
    </x:row>
    <x:row r="29" ht="66" customHeight="1">
      <x:c r="A29" s="2" t="str">
        <x:v>J028</x:v>
      </x:c>
      <x:c r="B29" s="2" t="str">
        <x:v>C23</x:v>
      </x:c>
      <x:c r="C29" s="9" t="str">
        <x:v>Reckitt</x:v>
      </x:c>
      <x:c r="D29" s="2" t="str">
        <x:v>CPG/FMCG/beauty</x:v>
      </x:c>
      <x:c r="E29" s="9" t="str">
        <x:v>Reckitt</x:v>
      </x:c>
      <x:c r="F29" s="9" t="str">
        <x:v>Junior Gen AI Artist (1-year Contract)</x:v>
      </x:c>
      <x:c r="G29" s="9" t="str">
        <x:v>Kuala Lumpur, Malaysia</x:v>
      </x:c>
      <x:c r="H29" s="7"/>
      <x:c r="I29" s="9" t="str">
        <x:v>unknown</x:v>
      </x:c>
      <x:c r="J29" s="9" t="str">
        <x:v>unknown</x:v>
      </x:c>
      <x:c r="K29" s="8" t="n">
        <x:v>0</x:v>
      </x:c>
      <x:c r="L29" s="8" t="n">
        <x:v>1</x:v>
      </x:c>
      <x:c r="M29" s="8" t="n">
        <x:v>1</x:v>
      </x:c>
      <x:c r="N29" s="9" t="str">
        <x:v>B - full job-board/employer-posted JD</x:v>
      </x:c>
      <x:c r="O29" s="9" t="str">
        <x:v>Basic familiarity with Gen AI tools (Midjourney, DALL·E, Firefly, Runway, etc.)</x:v>
      </x:c>
      <x:c r="P29" s="9" t="str">
        <x:v>https://my.linkedin.com/jobs/view/junior-gen-ai-artist-1-year-contract-at-reckitt-4432555116</x:v>
      </x:c>
      <x:c r="Q29" s="9" t="str"/>
      <x:c r="R29" s="9" t="str"/>
      <x:c r="S29" s="9" t="str"/>
      <x:c r="T29" s="9" t="str">
        <x:v>yes</x:v>
      </x:c>
      <x:c r="U29" s="9" t="str">
        <x:v>LinkedIn:4432555116</x:v>
      </x:c>
    </x:row>
    <x:row r="30" ht="66" customHeight="1">
      <x:c r="A30" s="2" t="str">
        <x:v>J029</x:v>
      </x:c>
      <x:c r="B30" s="2" t="str">
        <x:v>C24</x:v>
      </x:c>
      <x:c r="C30" s="9" t="str">
        <x:v>Henkel</x:v>
      </x:c>
      <x:c r="D30" s="2" t="str">
        <x:v>CPG/FMCG/beauty</x:v>
      </x:c>
      <x:c r="E30" s="9" t="str">
        <x:v>Henkel</x:v>
      </x:c>
      <x:c r="F30" s="9" t="str">
        <x:v>Post-Production &amp; Creative Content Coordinator</x:v>
      </x:c>
      <x:c r="G30" s="9" t="str">
        <x:v>Bratislava, Slovakia</x:v>
      </x:c>
      <x:c r="H30" s="7"/>
      <x:c r="I30" s="9" t="str">
        <x:v>unknown</x:v>
      </x:c>
      <x:c r="J30" s="9" t="str">
        <x:v>closed</x:v>
      </x:c>
      <x:c r="K30" s="8" t="n">
        <x:v>0</x:v>
      </x:c>
      <x:c r="L30" s="8" t="n">
        <x:v>1</x:v>
      </x:c>
      <x:c r="M30" s="8" t="n">
        <x:v>0</x:v>
      </x:c>
      <x:c r="N30" s="9" t="str">
        <x:v>B - full job-board/employer-posted JD</x:v>
      </x:c>
      <x:c r="O30" s="9" t="str">
        <x:v>Experience with stock libraries, storyboarding tools, or AI content generation (e.g. Runway, Midjourney, etc.).</x:v>
      </x:c>
      <x:c r="P30" s="9" t="str">
        <x:v>https://jobs.joinimagine.com/companies/henkel-2/jobs/66521009-post-production-creative-content-coordinator</x:v>
      </x:c>
      <x:c r="Q30" s="9" t="str"/>
      <x:c r="R30" s="9" t="str"/>
      <x:c r="S30" s="9" t="str"/>
      <x:c r="T30" s="9" t="str">
        <x:v>yes</x:v>
      </x:c>
      <x:c r="U30" s="9" t="str">
        <x:v>Getro:66521009</x:v>
      </x:c>
    </x:row>
    <x:row r="31" ht="66" customHeight="1">
      <x:c r="A31" s="2" t="str">
        <x:v>J030</x:v>
      </x:c>
      <x:c r="B31" s="2" t="str">
        <x:v>C25</x:v>
      </x:c>
      <x:c r="C31" s="9" t="str">
        <x:v>Estée Lauder Companies</x:v>
      </x:c>
      <x:c r="D31" s="2" t="str">
        <x:v>CPG/FMCG/beauty</x:v>
      </x:c>
      <x:c r="E31" s="9" t="str">
        <x:v>The Estée Lauder Companies Inc.</x:v>
      </x:c>
      <x:c r="F31" s="9" t="str">
        <x:v>Associate Design Director, ELC Global Communications</x:v>
      </x:c>
      <x:c r="G31" s="9" t="str">
        <x:v>New York, NY, USA</x:v>
      </x:c>
      <x:c r="H31" s="7"/>
      <x:c r="I31" s="9" t="str">
        <x:v>unknown</x:v>
      </x:c>
      <x:c r="J31" s="9" t="str">
        <x:v>closed</x:v>
      </x:c>
      <x:c r="K31" s="8" t="n">
        <x:v>0</x:v>
      </x:c>
      <x:c r="L31" s="8" t="n">
        <x:v>0</x:v>
      </x:c>
      <x:c r="M31" s="8" t="n">
        <x:v>1</x:v>
      </x:c>
      <x:c r="N31" s="9" t="str">
        <x:v>B - full job-board/employer-posted JD</x:v>
      </x:c>
      <x:c r="O31" s="9" t="str">
        <x:v>Proficiency with Adobe Firefly, Figma Weave, ChatGPT and other gen AI tools.</x:v>
      </x:c>
      <x:c r="P31" s="9" t="str">
        <x:v>https://www.linkedin.com/jobs/view/associate-design-director-elc-global-communications-at-the-est%C3%A9e-lauder-companies-inc-4442226523</x:v>
      </x:c>
      <x:c r="Q31" s="9" t="str"/>
      <x:c r="R31" s="9" t="str"/>
      <x:c r="S31" s="9" t="str">
        <x:v>Later Cerulean and Mediabistro reposts collapsed.</x:v>
      </x:c>
      <x:c r="T31" s="9" t="str">
        <x:v>yes</x:v>
      </x:c>
      <x:c r="U31" s="9" t="str">
        <x:v>LinkedIn:4442226523</x:v>
      </x:c>
    </x:row>
    <x:row r="32" ht="66" customHeight="1">
      <x:c r="A32" s="2" t="str">
        <x:v>J031</x:v>
      </x:c>
      <x:c r="B32" s="2" t="str">
        <x:v>C25</x:v>
      </x:c>
      <x:c r="C32" s="9" t="str">
        <x:v>Estée Lauder Companies</x:v>
      </x:c>
      <x:c r="D32" s="2" t="str">
        <x:v>CPG/FMCG/beauty</x:v>
      </x:c>
      <x:c r="E32" s="9" t="str">
        <x:v>The Estée Lauder Companies Inc.</x:v>
      </x:c>
      <x:c r="F32" s="9" t="str">
        <x:v>Digital Designer – 3 days/week, 12 month Fixed Term Contract</x:v>
      </x:c>
      <x:c r="G32" s="9" t="str">
        <x:v>London, United Kingdom</x:v>
      </x:c>
      <x:c r="H32" s="7"/>
      <x:c r="I32" s="9" t="str">
        <x:v>unknown</x:v>
      </x:c>
      <x:c r="J32" s="9" t="str">
        <x:v>appears open</x:v>
      </x:c>
      <x:c r="K32" s="8" t="n">
        <x:v>0</x:v>
      </x:c>
      <x:c r="L32" s="8" t="n">
        <x:v>0</x:v>
      </x:c>
      <x:c r="M32" s="8" t="n">
        <x:v>1</x:v>
      </x:c>
      <x:c r="N32" s="9" t="str">
        <x:v>B - full job-board/employer-posted JD</x:v>
      </x:c>
      <x:c r="O32" s="9" t="str">
        <x:v>Image manipulation experience using both traditional and Firefly AI enhanced techniques</x:v>
      </x:c>
      <x:c r="P32" s="9" t="str">
        <x:v>https://careers.elcompanies.com/careers/job/1168275659387?domain=elcompanies.com</x:v>
      </x:c>
      <x:c r="Q32" s="9" t="str">
        <x:v>https://uk.indeed.com/viewjob?jk=bc9ec9fb1e37bf08</x:v>
      </x:c>
      <x:c r="R32" s="9" t="str"/>
      <x:c r="S32" s="9" t="str">
        <x:v>Part-time 3-day/week and shorter title variants on Indeed, SimplyHired and LinkedIn collapsed; exact date unknown.</x:v>
      </x:c>
      <x:c r="T32" s="9" t="str">
        <x:v>yes</x:v>
      </x:c>
      <x:c r="U32" s="9" t="str">
        <x:v>ATS:1168275659387; LinkedIn:4473343511</x:v>
      </x:c>
    </x:row>
    <x:row r="33" ht="66" customHeight="1">
      <x:c r="A33" s="2" t="str">
        <x:v>J032</x:v>
      </x:c>
      <x:c r="B33" s="2" t="str">
        <x:v>C28</x:v>
      </x:c>
      <x:c r="C33" s="9" t="str">
        <x:v>Coty</x:v>
      </x:c>
      <x:c r="D33" s="2" t="str">
        <x:v>CPG/FMCG/beauty</x:v>
      </x:c>
      <x:c r="E33" s="9" t="str">
        <x:v>Coty</x:v>
      </x:c>
      <x:c r="F33" s="9" t="str">
        <x:v>Creative GenAI Project Manager - Consumer Beauty</x:v>
      </x:c>
      <x:c r="G33" s="9" t="str">
        <x:v>London, England, United Kingdom (SW19)</x:v>
      </x:c>
      <x:c r="H33" s="7"/>
      <x:c r="I33" s="9" t="str">
        <x:v>2026-04-24</x:v>
      </x:c>
      <x:c r="J33" s="9" t="str">
        <x:v>Unknown; historical mirror accessible</x:v>
      </x:c>
      <x:c r="K33" s="8" t="n">
        <x:v>0</x:v>
      </x:c>
      <x:c r="L33" s="8" t="n">
        <x:v>1</x:v>
      </x:c>
      <x:c r="M33" s="8" t="n">
        <x:v>1</x:v>
      </x:c>
      <x:c r="N33" s="9" t="str">
        <x:v>B - full JD mirror</x:v>
      </x:c>
      <x:c r="O33" s="9" t="str">
        <x:v>Image and video generation tools (e.g. Nano Banana, Bria, Gemini, Veo 3, Runway, Sora 2, Adobe Firefly)</x:v>
      </x:c>
      <x:c r="P33" s="9" t="str">
        <x:v>https://uk.talent.com/view?id=616572146116337592</x:v>
      </x:c>
      <x:c r="Q33" s="9" t="str">
        <x:v>https://www.glassdoor.com/job-listing/creative-genai-project-manager-consumer-beauty-coty-JV_IC2671300_KO0%2C46_KE47%2C51.htm?jl=1010112503763</x:v>
      </x:c>
      <x:c r="R33" s="9" t="str"/>
      <x:c r="S33" s="9" t="str">
        <x:v>Named tools occur in AI Tools &amp; Platforms workflow section. Date and requisition verified in indexed full Glassdoor copy. Canonical employer URL not recovered. Talent.com relative age is unreliable.</x:v>
      </x:c>
      <x:c r="T33" s="9" t="str">
        <x:v>yes</x:v>
      </x:c>
      <x:c r="U33" s="9" t="str">
        <x:v>98231</x:v>
      </x:c>
    </x:row>
    <x:row r="34" ht="66" customHeight="1">
      <x:c r="A34" s="2" t="str">
        <x:v>J033</x:v>
      </x:c>
      <x:c r="B34" s="2" t="str">
        <x:v>C33</x:v>
      </x:c>
      <x:c r="C34" s="9" t="str">
        <x:v>Church &amp; Dwight</x:v>
      </x:c>
      <x:c r="D34" s="2" t="str">
        <x:v>CPG/FMCG/beauty</x:v>
      </x:c>
      <x:c r="E34" s="9" t="str">
        <x:v>Church &amp; Dwight</x:v>
      </x:c>
      <x:c r="F34" s="9" t="str">
        <x:v>Sr. Art Director</x:v>
      </x:c>
      <x:c r="G34" s="9" t="str">
        <x:v>New York/New Jersey territory, United States</x:v>
      </x:c>
      <x:c r="H34" s="7"/>
      <x:c r="I34" s="9" t="str">
        <x:v>unknown</x:v>
      </x:c>
      <x:c r="J34" s="9" t="str">
        <x:v>Closed; removed 2025-07-29</x:v>
      </x:c>
      <x:c r="K34" s="8" t="n">
        <x:v>0</x:v>
      </x:c>
      <x:c r="L34" s="8" t="n">
        <x:v>0</x:v>
      </x:c>
      <x:c r="M34" s="8" t="n">
        <x:v>1</x:v>
      </x:c>
      <x:c r="N34" s="9" t="str">
        <x:v>B - full JD archive</x:v>
      </x:c>
      <x:c r="O34" s="9" t="str">
        <x:v>Proficient in Adobe Creative Cloud and Figma; familiarity with Frame.io and AI tools like Firefly or Midjourney is a plus</x:v>
      </x:c>
      <x:c r="P34" s="9" t="str">
        <x:v>https://builtin.com/job/sr-art-director/6350778</x:v>
      </x:c>
      <x:c r="Q34" s="9" t="str"/>
      <x:c r="R34" s="9" t="str"/>
      <x:c r="S34" s="9" t="str">
        <x:v>Original publication date unavailable; removal date proves posting predates cutoff. Firefly not prefixed Adobe in clause but unambiguously the AI creative tool, adjacent to Adobe Creative Cloud/Midjourney.</x:v>
      </x:c>
      <x:c r="T34" s="9" t="str">
        <x:v>yes</x:v>
      </x:c>
      <x:c r="U34" s="9" t="str"/>
    </x:row>
    <x:row r="35" ht="66" customHeight="1">
      <x:c r="A35" s="2" t="str">
        <x:v>J034</x:v>
      </x:c>
      <x:c r="B35" s="2" t="str">
        <x:v>C43</x:v>
      </x:c>
      <x:c r="C35" s="9" t="str">
        <x:v>Tyson Foods</x:v>
      </x:c>
      <x:c r="D35" s="2" t="str">
        <x:v>CPG/FMCG/beauty</x:v>
      </x:c>
      <x:c r="E35" s="9" t="str">
        <x:v>Tyson Foods</x:v>
      </x:c>
      <x:c r="F35" s="9" t="str">
        <x:v>Marketing Operations Manager</x:v>
      </x:c>
      <x:c r="G35" s="9" t="str">
        <x:v>Springdale, Arkansas, United States</x:v>
      </x:c>
      <x:c r="H35" s="7" t="n">
        <x:v>46132</x:v>
      </x:c>
      <x:c r="I35" s="9" t="str">
        <x:v>2026-04-20</x:v>
      </x:c>
      <x:c r="J35" s="9" t="str">
        <x:v>Closed; no longer accepting applications</x:v>
      </x:c>
      <x:c r="K35" s="8" t="n">
        <x:v>0</x:v>
      </x:c>
      <x:c r="L35" s="8" t="n">
        <x:v>0</x:v>
      </x:c>
      <x:c r="M35" s="8" t="n">
        <x:v>1</x:v>
      </x:c>
      <x:c r="N35" s="9" t="str">
        <x:v>B - full JD job board plus employer LinkedIn</x:v>
      </x:c>
      <x:c r="O35" s="9" t="str">
        <x:v>Support in-house creative development and versioning using Adobe Express and Adobe Firefly to extend agency concepts across channels</x:v>
      </x:c>
      <x:c r="P35" s="9" t="str">
        <x:v>https://www.linkedin.com/jobs/view/marketing-operations-manager-at-tyson-foods-4400882167</x:v>
      </x:c>
      <x:c r="Q35" s="9" t="str">
        <x:v>https://www.tealhq.com/job/marketing-operations-manager_7ea1a3bcf96ed1ded93ed80c49573c1331318; https://www.mediabistro.com/jobs/3400096229-marketing-operations-manager | https://talent.careersnwa.com/companies/tyson-foods/jobs/75477359-marketing-operations-manager</x:v>
      </x:c>
      <x:c r="R35" s="9" t="str"/>
      <x:c r="S35" s="9" t="str">
        <x:v>Full Northwest Arkansas board JD retrieved after web fetch failed. Requisition supplied by indexed Mediabistro mirror, now 410 Gone. Internal summary also calls role Manager of Digital Marketing Operations &amp; Creative Scale.</x:v>
      </x:c>
      <x:c r="T35" s="9" t="str">
        <x:v>yes</x:v>
      </x:c>
      <x:c r="U35" s="9" t="str">
        <x:v>R0456524</x:v>
      </x:c>
    </x:row>
    <x:row r="36" ht="66" customHeight="1">
      <x:c r="A36" s="2" t="str">
        <x:v>J035</x:v>
      </x:c>
      <x:c r="B36" s="2" t="str">
        <x:v>C48</x:v>
      </x:c>
      <x:c r="C36" s="9" t="str">
        <x:v>Conagra Brands</x:v>
      </x:c>
      <x:c r="D36" s="2" t="str">
        <x:v>CPG/FMCG/beauty</x:v>
      </x:c>
      <x:c r="E36" s="9" t="str">
        <x:v>Conagra Brands</x:v>
      </x:c>
      <x:c r="F36" s="9" t="str">
        <x:v>Art Director</x:v>
      </x:c>
      <x:c r="G36" s="9" t="str">
        <x:v>Chicago, Illinois, United States</x:v>
      </x:c>
      <x:c r="H36" s="7"/>
      <x:c r="I36" s="9" t="str">
        <x:v>unknown</x:v>
      </x:c>
      <x:c r="J36" s="9" t="str">
        <x:v>Listed with Apply; current application status not independently tested</x:v>
      </x:c>
      <x:c r="K36" s="8" t="n">
        <x:v>0</x:v>
      </x:c>
      <x:c r="L36" s="8" t="n">
        <x:v>0</x:v>
      </x:c>
      <x:c r="M36" s="8" t="n">
        <x:v>1</x:v>
      </x:c>
      <x:c r="N36" s="9" t="str">
        <x:v>A2 - employer LinkedIn full JD</x:v>
      </x:c>
      <x:c r="O36" s="9" t="str">
        <x:v>Interest in generative AI and emerging creative technologies; experience with tools such as ChatGPT, Adobe Firefly, Midjourney, or similar platforms.</x:v>
      </x:c>
      <x:c r="P36" s="9" t="str">
        <x:v>https://www.linkedin.com/jobs/view/art-director-at-conagra-brands-4456042994</x:v>
      </x:c>
      <x:c r="Q36" s="9" t="str">
        <x:v>https://builtin.com/job/art-director/10784153; https://simplify.jobs/p/7b3ee728-dd1f-4c81-ab9e-c8a84661cd80/Art-Director; https://www.indeed.com/viewjob?jk=e39751eccc186bdf</x:v>
      </x:c>
      <x:c r="R36" s="9" t="str"/>
      <x:c r="S36" s="9" t="str">
        <x:v>Original posting date unknown; accessible by cutoff and Simplify mirror explicitly updated 2026-10-04. Req-039741 confirmed by indexed Indeed full copy. Earlier Art Director Req-037565 lacks explicit tools and is not counted.</x:v>
      </x:c>
      <x:c r="T36" s="9" t="str">
        <x:v>yes</x:v>
      </x:c>
      <x:c r="U36" s="9" t="str">
        <x:v>Req-039741</x:v>
      </x:c>
    </x:row>
    <x:row r="37" ht="66" customHeight="1">
      <x:c r="A37" s="2" t="str">
        <x:v>J036</x:v>
      </x:c>
      <x:c r="B37" s="2" t="str">
        <x:v>A01</x:v>
      </x:c>
      <x:c r="C37" s="9" t="str">
        <x:v>Ogilvy</x:v>
      </x:c>
      <x:c r="D37" s="2" t="str">
        <x:v>Агентства</x:v>
      </x:c>
      <x:c r="E37" s="9" t="str">
        <x:v>Ogilvy Hong Kong</x:v>
      </x:c>
      <x:c r="F37" s="9" t="str">
        <x:v>Art Director / Content Designer (PR &amp; Influence)</x:v>
      </x:c>
      <x:c r="G37" s="9" t="str">
        <x:v>Hong Kong SAR</x:v>
      </x:c>
      <x:c r="H37" s="7"/>
      <x:c r="I37" s="9" t="str">
        <x:v>unknown; page says 2 years ago</x:v>
      </x:c>
      <x:c r="J37" s="9" t="str">
        <x:v>closed</x:v>
      </x:c>
      <x:c r="K37" s="8" t="n">
        <x:v>0</x:v>
      </x:c>
      <x:c r="L37" s="8" t="n">
        <x:v>1</x:v>
      </x:c>
      <x:c r="M37" s="8" t="n">
        <x:v>1</x:v>
      </x:c>
      <x:c r="N37" s="9" t="str">
        <x:v>employer_linkedin</x:v>
      </x:c>
      <x:c r="O37" s="9" t="str">
        <x:v>Knowledge and experience in generative AI, such as midjourney, Firefly, DallE, Runway, and etc.</x:v>
      </x:c>
      <x:c r="P37" s="9" t="str">
        <x:v>https://hk.linkedin.com/jobs/view/art-director-content-designer-pr-influence-at-ogilvy-hong-kong-3982616441</x:v>
      </x:c>
      <x:c r="Q37" s="9" t="str"/>
      <x:c r="R37" s="9" t="str"/>
      <x:c r="S37" s="9" t="str">
        <x:v>Observed 2026-10-06; historical JD</x:v>
      </x:c>
      <x:c r="T37" s="9" t="str">
        <x:v>yes</x:v>
      </x:c>
      <x:c r="U37" s="9" t="str">
        <x:v>LinkedIn 3982616441</x:v>
      </x:c>
    </x:row>
    <x:row r="38" ht="66" customHeight="1">
      <x:c r="A38" s="2" t="str">
        <x:v>J037</x:v>
      </x:c>
      <x:c r="B38" s="2" t="str">
        <x:v>A01</x:v>
      </x:c>
      <x:c r="C38" s="9" t="str">
        <x:v>Ogilvy</x:v>
      </x:c>
      <x:c r="D38" s="2" t="str">
        <x:v>Агентства</x:v>
      </x:c>
      <x:c r="E38" s="9" t="str">
        <x:v>DAVID</x:v>
      </x:c>
      <x:c r="F38" s="9" t="str">
        <x:v>Creative Editor/AI</x:v>
      </x:c>
      <x:c r="G38" s="9" t="str">
        <x:v>Miami, USA</x:v>
      </x:c>
      <x:c r="H38" s="7"/>
      <x:c r="I38" s="9" t="str">
        <x:v>unknown</x:v>
      </x:c>
      <x:c r="J38" s="9" t="str">
        <x:v>listed; live vacancy status not independently guaranteed</x:v>
      </x:c>
      <x:c r="K38" s="8" t="n">
        <x:v>0</x:v>
      </x:c>
      <x:c r="L38" s="8" t="n">
        <x:v>1</x:v>
      </x:c>
      <x:c r="M38" s="8" t="n">
        <x:v>1</x:v>
      </x:c>
      <x:c r="N38" s="9" t="str">
        <x:v>primary_ats</x:v>
      </x:c>
      <x:c r="O38" s="9" t="str">
        <x:v>Hands-on experience with AI creative tools such as Google AI models, VEO 3, OpenAI Nano Banana, Seedance, Adobe Firefly, Runway</x:v>
      </x:c>
      <x:c r="P38" s="9" t="str">
        <x:v>https://job-boards.greenhouse.io/david/jobs/4682245005</x:v>
      </x:c>
      <x:c r="Q38" s="9" t="str"/>
      <x:c r="R38" s="9" t="str">
        <x:v>https://job-boards.greenhouse.io/david/jobs/4682245005</x:v>
      </x:c>
      <x:c r="S38" s="9" t="str">
        <x:v>Duplicate Built In 9008105 labelled Ogilvy merged; actual employer DAVID; printed OpenAI Nano Banana retained verbatim</x:v>
      </x:c>
      <x:c r="T38" s="9" t="str">
        <x:v>yes</x:v>
      </x:c>
      <x:c r="U38" s="9" t="str">
        <x:v>Greenhouse 4682245005</x:v>
      </x:c>
    </x:row>
    <x:row r="39" ht="66" customHeight="1">
      <x:c r="A39" s="2" t="str">
        <x:v>J038</x:v>
      </x:c>
      <x:c r="B39" s="2" t="str">
        <x:v>A01</x:v>
      </x:c>
      <x:c r="C39" s="9" t="str">
        <x:v>Ogilvy</x:v>
      </x:c>
      <x:c r="D39" s="2" t="str">
        <x:v>Агентства</x:v>
      </x:c>
      <x:c r="E39" s="9" t="str">
        <x:v>Ogilvy Australia</x:v>
      </x:c>
      <x:c r="F39" s="9" t="str">
        <x:v>Senior Integrated Project Manager</x:v>
      </x:c>
      <x:c r="G39" s="9" t="str">
        <x:v>Melbourne, Australia</x:v>
      </x:c>
      <x:c r="H39" s="7"/>
      <x:c r="I39" s="9" t="str">
        <x:v>unknown; removed 2025-08-28</x:v>
      </x:c>
      <x:c r="J39" s="9" t="str">
        <x:v>closed historical mirror</x:v>
      </x:c>
      <x:c r="K39" s="8" t="n">
        <x:v>0</x:v>
      </x:c>
      <x:c r="L39" s="8" t="n">
        <x:v>0</x:v>
      </x:c>
      <x:c r="M39" s="8" t="n">
        <x:v>1</x:v>
      </x:c>
      <x:c r="N39" s="9" t="str">
        <x:v>historical_mirror</x:v>
      </x:c>
      <x:c r="O39" s="9" t="str">
        <x:v>creative development, workflow automation, and data analysis (e.g., ChatGPT, Midjourney, Adobe Firefly, Notion AI, etc.).</x:v>
      </x:c>
      <x:c r="P39" s="9" t="str">
        <x:v>https://builtin.com/job/senior-integrated-project-manager/6696293</x:v>
      </x:c>
      <x:c r="Q39" s="9" t="str"/>
      <x:c r="R39" s="9" t="str"/>
      <x:c r="S39" s="9" t="str">
        <x:v>Creative-production/project-management support role; full JD inspected</x:v>
      </x:c>
      <x:c r="T39" s="9" t="str">
        <x:v>yes</x:v>
      </x:c>
      <x:c r="U39" s="9" t="str">
        <x:v>Built In 6696293</x:v>
      </x:c>
    </x:row>
    <x:row r="40" ht="66" customHeight="1">
      <x:c r="A40" s="2" t="str">
        <x:v>J039</x:v>
      </x:c>
      <x:c r="B40" s="2" t="str">
        <x:v>A02</x:v>
      </x:c>
      <x:c r="C40" s="9" t="str">
        <x:v>VML</x:v>
      </x:c>
      <x:c r="D40" s="2" t="str">
        <x:v>Агентства</x:v>
      </x:c>
      <x:c r="E40" s="9" t="str">
        <x:v>VML</x:v>
      </x:c>
      <x:c r="F40" s="9" t="str">
        <x:v>Creative Director</x:v>
      </x:c>
      <x:c r="G40" s="9" t="str">
        <x:v>Mexico City, Mexico</x:v>
      </x:c>
      <x:c r="H40" s="7"/>
      <x:c r="I40" s="9" t="str">
        <x:v>2026-08-31 (last updated)</x:v>
      </x:c>
      <x:c r="J40" s="9" t="str">
        <x:v>listed</x:v>
      </x:c>
      <x:c r="K40" s="8" t="n">
        <x:v>0</x:v>
      </x:c>
      <x:c r="L40" s="8" t="n">
        <x:v>0</x:v>
      </x:c>
      <x:c r="M40" s="8" t="n">
        <x:v>1</x:v>
      </x:c>
      <x:c r="N40" s="9" t="str">
        <x:v>primary_careers</x:v>
      </x:c>
      <x:c r="O40" s="9" t="str">
        <x:v>Deseable: conocimiento en herramientas de IA aplicadas a creatividad (Midjourney, ChatGPT, Adobe Firefly u otras).</x:v>
      </x:c>
      <x:c r="P40" s="9" t="str">
        <x:v>https://www.vml.com/careers/job/8597469002-mx-creative-director</x:v>
      </x:c>
      <x:c r="Q40" s="9" t="str"/>
      <x:c r="R40" s="9" t="str"/>
      <x:c r="S40" s="9" t="str"/>
      <x:c r="T40" s="9" t="str">
        <x:v>yes</x:v>
      </x:c>
      <x:c r="U40" s="9" t="str">
        <x:v>VML 16812; Greenhouse 8597469002</x:v>
      </x:c>
    </x:row>
    <x:row r="41" ht="66" customHeight="1">
      <x:c r="A41" s="2" t="str">
        <x:v>J040</x:v>
      </x:c>
      <x:c r="B41" s="2" t="str">
        <x:v>A02</x:v>
      </x:c>
      <x:c r="C41" s="9" t="str">
        <x:v>VML</x:v>
      </x:c>
      <x:c r="D41" s="2" t="str">
        <x:v>Агентства</x:v>
      </x:c>
      <x:c r="E41" s="9" t="str">
        <x:v>Enext</x:v>
      </x:c>
      <x:c r="F41" s="9" t="str">
        <x:v>Diretor de Arte SR (Freela - Aracaju/SE)</x:v>
      </x:c>
      <x:c r="G41" s="9" t="str">
        <x:v>Aracaju/SE role; São Paulo, Brazil in ATS location</x:v>
      </x:c>
      <x:c r="H41" s="7"/>
      <x:c r="I41" s="9" t="str">
        <x:v>unknown</x:v>
      </x:c>
      <x:c r="J41" s="9" t="str">
        <x:v>listed</x:v>
      </x:c>
      <x:c r="K41" s="8" t="n">
        <x:v>0</x:v>
      </x:c>
      <x:c r="L41" s="8" t="n">
        <x:v>0</x:v>
      </x:c>
      <x:c r="M41" s="8" t="n">
        <x:v>1</x:v>
      </x:c>
      <x:c r="N41" s="9" t="str">
        <x:v>primary_careers</x:v>
      </x:c>
      <x:c r="O41" s="9" t="str">
        <x:v>Experiência com ferramentas de inteligência artificial generativa para criação/exploração visual (Midjourney, Firefly, etc.).</x:v>
      </x:c>
      <x:c r="P41" s="9" t="str">
        <x:v>https://www.vml.com/careers/job/8760744002-br-diretor-de-arte-sr-freela-aracaju-se</x:v>
      </x:c>
      <x:c r="Q41" s="9" t="str"/>
      <x:c r="R41" s="9" t="str">
        <x:v>https://enext.com.br/sobre/</x:v>
      </x:c>
      <x:c r="S41" s="9" t="str">
        <x:v>Brand field Enext; official corporate mapping to VML Company verified separately</x:v>
      </x:c>
      <x:c r="T41" s="9" t="str">
        <x:v>yes</x:v>
      </x:c>
      <x:c r="U41" s="9" t="str">
        <x:v>VML 18132; Greenhouse 8760744002</x:v>
      </x:c>
    </x:row>
    <x:row r="42" ht="66" customHeight="1">
      <x:c r="A42" s="2" t="str">
        <x:v>J041</x:v>
      </x:c>
      <x:c r="B42" s="2" t="str">
        <x:v>A02</x:v>
      </x:c>
      <x:c r="C42" s="9" t="str">
        <x:v>VML</x:v>
      </x:c>
      <x:c r="D42" s="2" t="str">
        <x:v>Агентства</x:v>
      </x:c>
      <x:c r="E42" s="9" t="str">
        <x:v>VML</x:v>
      </x:c>
      <x:c r="F42" s="9" t="str">
        <x:v>AI Art Director / Creative Specialist</x:v>
      </x:c>
      <x:c r="G42" s="9" t="str">
        <x:v>Toronto, Canada</x:v>
      </x:c>
      <x:c r="H42" s="7"/>
      <x:c r="I42" s="9" t="str">
        <x:v>unknown; page says 1 month ago</x:v>
      </x:c>
      <x:c r="J42" s="9" t="str">
        <x:v>listed</x:v>
      </x:c>
      <x:c r="K42" s="8" t="n">
        <x:v>0</x:v>
      </x:c>
      <x:c r="L42" s="8" t="n">
        <x:v>1</x:v>
      </x:c>
      <x:c r="M42" s="8" t="n">
        <x:v>1</x:v>
      </x:c>
      <x:c r="N42" s="9" t="str">
        <x:v>employer_linkedin</x:v>
      </x:c>
      <x:c r="O42" s="9" t="str">
        <x:v>Adobe Firefly, Stable Diffusion; Video Models: Google Veo, OpenAI Sora, ByteDance Seedance, Runway, Luma.</x:v>
      </x:c>
      <x:c r="P42" s="9" t="str">
        <x:v>https://ca.linkedin.com/jobs/view/ai-art-director-creative-specialist-at-vml-4458278460</x:v>
      </x:c>
      <x:c r="Q42" s="9" t="str"/>
      <x:c r="R42" s="9" t="str"/>
      <x:c r="S42" s="9" t="str">
        <x:v>Two exact short excerpts joined with semicolon; in hands-on multi-model requirements. French translation LinkedIn 4457189310 conservatively merged</x:v>
      </x:c>
      <x:c r="T42" s="9" t="str">
        <x:v>yes</x:v>
      </x:c>
      <x:c r="U42" s="9" t="str">
        <x:v>LinkedIn 4458278460</x:v>
      </x:c>
    </x:row>
    <x:row r="43" ht="66" customHeight="1">
      <x:c r="A43" s="2" t="str">
        <x:v>J042</x:v>
      </x:c>
      <x:c r="B43" s="2" t="str">
        <x:v>A02</x:v>
      </x:c>
      <x:c r="C43" s="9" t="str">
        <x:v>VML</x:v>
      </x:c>
      <x:c r="D43" s="2" t="str">
        <x:v>Агентства</x:v>
      </x:c>
      <x:c r="E43" s="9" t="str">
        <x:v>VML</x:v>
      </x:c>
      <x:c r="F43" s="9" t="str">
        <x:v>Senior UX/UI Design Lead</x:v>
      </x:c>
      <x:c r="G43" s="9" t="str">
        <x:v>Shanghai, China</x:v>
      </x:c>
      <x:c r="H43" s="7"/>
      <x:c r="I43" s="9" t="str">
        <x:v>unknown; page says 1 month ago</x:v>
      </x:c>
      <x:c r="J43" s="9" t="str">
        <x:v>listed</x:v>
      </x:c>
      <x:c r="K43" s="8" t="n">
        <x:v>0</x:v>
      </x:c>
      <x:c r="L43" s="8" t="n">
        <x:v>0</x:v>
      </x:c>
      <x:c r="M43" s="8" t="n">
        <x:v>1</x:v>
      </x:c>
      <x:c r="N43" s="9" t="str">
        <x:v>employer_linkedin</x:v>
      </x:c>
      <x:c r="O43" s="9" t="str">
        <x:v>AI Design Mastery: Proven experience integrating AI design tools (Claude, Midjourney, Stable Diffusion, ComfyUI, Firefly) into production pipelines.</x:v>
      </x:c>
      <x:c r="P43" s="9" t="str">
        <x:v>https://cn.linkedin.com/jobs/view/senior-ux-ui-design-lead-at-vml-4452919192</x:v>
      </x:c>
      <x:c r="Q43" s="9" t="str"/>
      <x:c r="R43" s="9" t="str"/>
      <x:c r="S43" s="9" t="str">
        <x:v>Onsite freelancer preferred; role supports sportswear, beauty, luxury and FMCG but no client attribution</x:v>
      </x:c>
      <x:c r="T43" s="9" t="str">
        <x:v>yes</x:v>
      </x:c>
      <x:c r="U43" s="9" t="str">
        <x:v>LinkedIn 4452919192</x:v>
      </x:c>
    </x:row>
    <x:row r="44" ht="66" customHeight="1">
      <x:c r="A44" s="2" t="str">
        <x:v>J043</x:v>
      </x:c>
      <x:c r="B44" s="2" t="str">
        <x:v>A02</x:v>
      </x:c>
      <x:c r="C44" s="9" t="str">
        <x:v>VML</x:v>
      </x:c>
      <x:c r="D44" s="2" t="str">
        <x:v>Агентства</x:v>
      </x:c>
      <x:c r="E44" s="9" t="str">
        <x:v>VML</x:v>
      </x:c>
      <x:c r="F44" s="9" t="str">
        <x:v>INTERNSHIP - AI ARTIST</x:v>
      </x:c>
      <x:c r="G44" s="9" t="str">
        <x:v>Paris, France</x:v>
      </x:c>
      <x:c r="H44" s="7"/>
      <x:c r="I44" s="9" t="str">
        <x:v>2026-01-24 (mirror metadata; original unknown)</x:v>
      </x:c>
      <x:c r="J44" s="9" t="str">
        <x:v>closed historical mirror</x:v>
      </x:c>
      <x:c r="K44" s="8" t="n">
        <x:v>1</x:v>
      </x:c>
      <x:c r="L44" s="8" t="n">
        <x:v>0</x:v>
      </x:c>
      <x:c r="M44" s="8" t="n">
        <x:v>0</x:v>
      </x:c>
      <x:c r="N44" s="9" t="str">
        <x:v>employer_linkedin</x:v>
      </x:c>
      <x:c r="O44" s="9" t="str">
        <x:v>Familiarity with AI tools such as Nanobanana, Seedream, and Higgsfield (or a strong willingness to learn).</x:v>
      </x:c>
      <x:c r="P44" s="9" t="str">
        <x:v>https://www.linkedin.com/jobs/view/4371405756</x:v>
      </x:c>
      <x:c r="Q44" s="9" t="str"/>
      <x:c r="R44" s="9" t="str"/>
      <x:c r="S44" s="9" t="str">
        <x:v>Independent QA worker retrieved full employer JD; some retrievals redirect expired listing. Alternate full-text historical mirror: https://youllgetit.eu/internships/71b8aab0-0c0e-5f99-8d63-2e3a06aece93/internship-ai-artist-at-vml-paris</x:v>
      </x:c>
      <x:c r="T44" s="9" t="str">
        <x:v>yes</x:v>
      </x:c>
      <x:c r="U44" s="9" t="str">
        <x:v>LinkedIn 4371405756; mirror 71b8aab0-0c0e-5f99-8d63-2e3a06aece93</x:v>
      </x:c>
    </x:row>
    <x:row r="45" ht="66" customHeight="1">
      <x:c r="A45" s="2" t="str">
        <x:v>J044</x:v>
      </x:c>
      <x:c r="B45" s="2" t="str">
        <x:v>A04</x:v>
      </x:c>
      <x:c r="C45" s="9" t="str">
        <x:v>Hogarth / WPP Production</x:v>
      </x:c>
      <x:c r="D45" s="2" t="str">
        <x:v>Агентства</x:v>
      </x:c>
      <x:c r="E45" s="9" t="str">
        <x:v>Hogarth</x:v>
      </x:c>
      <x:c r="F45" s="9" t="str">
        <x:v>AI Content Artist, Freelance</x:v>
      </x:c>
      <x:c r="G45" s="9" t="str">
        <x:v>Toronto, Canada</x:v>
      </x:c>
      <x:c r="H45" s="7"/>
      <x:c r="I45" s="9" t="str">
        <x:v>unknown; removed 2025-12-10</x:v>
      </x:c>
      <x:c r="J45" s="9" t="str">
        <x:v>closed historical mirror</x:v>
      </x:c>
      <x:c r="K45" s="8" t="n">
        <x:v>0</x:v>
      </x:c>
      <x:c r="L45" s="8" t="n">
        <x:v>1</x:v>
      </x:c>
      <x:c r="M45" s="8" t="n">
        <x:v>0</x:v>
      </x:c>
      <x:c r="N45" s="9" t="str">
        <x:v>historical_mirror</x:v>
      </x:c>
      <x:c r="O45" s="9" t="str">
        <x:v>Utilize generative AI tools (e.g., MidJourney, Runway, LTX, ComfyUI, etc.) to create, animate, and enhance innovative visual assets</x:v>
      </x:c>
      <x:c r="P45" s="9" t="str">
        <x:v>https://builtin.com/job/ai-content-artist/7283848</x:v>
      </x:c>
      <x:c r="Q45" s="9" t="str"/>
      <x:c r="R45" s="9" t="str"/>
      <x:c r="S45" s="9" t="str"/>
      <x:c r="T45" s="9" t="str">
        <x:v>yes</x:v>
      </x:c>
      <x:c r="U45" s="9" t="str">
        <x:v>Built In 7283848</x:v>
      </x:c>
    </x:row>
    <x:row r="46" ht="66" customHeight="1">
      <x:c r="A46" s="2" t="str">
        <x:v>J045</x:v>
      </x:c>
      <x:c r="B46" s="2" t="str">
        <x:v>A04</x:v>
      </x:c>
      <x:c r="C46" s="9" t="str">
        <x:v>Hogarth / WPP Production</x:v>
      </x:c>
      <x:c r="D46" s="2" t="str">
        <x:v>Агентства</x:v>
      </x:c>
      <x:c r="E46" s="9" t="str">
        <x:v>Hogarth</x:v>
      </x:c>
      <x:c r="F46" s="9" t="str">
        <x:v>Trainee Project Manager - Advertising AI</x:v>
      </x:c>
      <x:c r="G46" s="9" t="str">
        <x:v>Madrid, Spain</x:v>
      </x:c>
      <x:c r="H46" s="7" t="n">
        <x:v>45821</x:v>
      </x:c>
      <x:c r="I46" s="9" t="str">
        <x:v>2025-06-13</x:v>
      </x:c>
      <x:c r="J46" s="9" t="str">
        <x:v>inactive historical mirror</x:v>
      </x:c>
      <x:c r="K46" s="8" t="n">
        <x:v>0</x:v>
      </x:c>
      <x:c r="L46" s="8" t="n">
        <x:v>1</x:v>
      </x:c>
      <x:c r="M46" s="8" t="n">
        <x:v>0</x:v>
      </x:c>
      <x:c r="N46" s="9" t="str">
        <x:v>historical_mirror</x:v>
      </x:c>
      <x:c r="O46" s="9" t="str">
        <x:v>Previous experience with digital projects or generative AI tools (e.g., Midjourney, Runway, ChatGPT) is a plus.</x:v>
      </x:c>
      <x:c r="P46" s="9" t="str">
        <x:v>https://simplify.jobs/p/a66e726d-502a-43e2-961a-153ee549d8c8/Trainee-Project-Manager</x:v>
      </x:c>
      <x:c r="Q46" s="9" t="str"/>
      <x:c r="R46" s="9" t="str"/>
      <x:c r="S46" s="9" t="str">
        <x:v>Six-month internship; direct creative-production support role</x:v>
      </x:c>
      <x:c r="T46" s="9" t="str">
        <x:v>yes</x:v>
      </x:c>
      <x:c r="U46" s="9" t="str">
        <x:v>Simplify a66e726d-502a-43e2-961a-153ee549d8c8</x:v>
      </x:c>
    </x:row>
    <x:row r="47" ht="66" customHeight="1">
      <x:c r="A47" s="2" t="str">
        <x:v>J046</x:v>
      </x:c>
      <x:c r="B47" s="2" t="str">
        <x:v>A05</x:v>
      </x:c>
      <x:c r="C47" s="9" t="str">
        <x:v>BBDO</x:v>
      </x:c>
      <x:c r="D47" s="2" t="str">
        <x:v>Агентства</x:v>
      </x:c>
      <x:c r="E47" s="9" t="str">
        <x:v>IMPACT BBDO</x:v>
      </x:c>
      <x:c r="F47" s="9" t="str">
        <x:v>Senior Motion Graphics Designer (AI Enabled)</x:v>
      </x:c>
      <x:c r="G47" s="9" t="str">
        <x:v>Dubai, UAE</x:v>
      </x:c>
      <x:c r="H47" s="7" t="n">
        <x:v>46092</x:v>
      </x:c>
      <x:c r="I47" s="9" t="str">
        <x:v>2026-03-11</x:v>
      </x:c>
      <x:c r="J47" s="9" t="str">
        <x:v>specific employer hiring announcement; opening status unknown</x:v>
      </x:c>
      <x:c r="K47" s="8" t="n">
        <x:v>0</x:v>
      </x:c>
      <x:c r="L47" s="8" t="n">
        <x:v>1</x:v>
      </x:c>
      <x:c r="M47" s="8" t="n">
        <x:v>1</x:v>
      </x:c>
      <x:c r="N47" s="9" t="str">
        <x:v>employer_hiring_post</x:v>
      </x:c>
      <x:c r="O47" s="9" t="str">
        <x:v>Experience using AI creative tools (such as Runway, Midjourney, Adobe Firefly, Stable Diffusion, etc.).</x:v>
      </x:c>
      <x:c r="P47" s="9" t="str">
        <x:v>https://www.linkedin.com/posts/impact-bbdo_hiring-mode-on-impact-bbdo-senior-motion-activity-7437402299078979584-MiZW</x:v>
      </x:c>
      <x:c r="Q47" s="9" t="str"/>
      <x:c r="R47" s="9" t="str">
        <x:v>https://impactbbdo.com/the-people/</x:v>
      </x:c>
      <x:c r="S47" s="9" t="str">
        <x:v>One specific role announcement with full JD; no requisition ID</x:v>
      </x:c>
      <x:c r="T47" s="9" t="str">
        <x:v>yes</x:v>
      </x:c>
      <x:c r="U47" s="9" t="str">
        <x:v>LinkedIn activity 7437402299078979584</x:v>
      </x:c>
    </x:row>
    <x:row r="48" ht="66" customHeight="1">
      <x:c r="A48" s="2" t="str">
        <x:v>J047</x:v>
      </x:c>
      <x:c r="B48" s="2" t="str">
        <x:v>A05</x:v>
      </x:c>
      <x:c r="C48" s="9" t="str">
        <x:v>BBDO</x:v>
      </x:c>
      <x:c r="D48" s="2" t="str">
        <x:v>Агентства</x:v>
      </x:c>
      <x:c r="E48" s="9" t="str">
        <x:v>WEST BBDO</x:v>
      </x:c>
      <x:c r="F48" s="9" t="str">
        <x:v>Senior AI Creative Specialist</x:v>
      </x:c>
      <x:c r="G48" s="9" t="str">
        <x:v>Los Angeles, USA</x:v>
      </x:c>
      <x:c r="H48" s="7"/>
      <x:c r="I48" s="9" t="str">
        <x:v>unknown</x:v>
      </x:c>
      <x:c r="J48" s="9" t="str">
        <x:v>job-board mirror; opening status unconfirmed</x:v>
      </x:c>
      <x:c r="K48" s="8" t="n">
        <x:v>0</x:v>
      </x:c>
      <x:c r="L48" s="8" t="n">
        <x:v>0</x:v>
      </x:c>
      <x:c r="M48" s="8" t="n">
        <x:v>1</x:v>
      </x:c>
      <x:c r="N48" s="9" t="str">
        <x:v>job_board_mirror</x:v>
      </x:c>
      <x:c r="O48" s="9" t="str">
        <x:v>Demonstrated proficiency with leading AI-powered content creation tools such as, but not limited to ChatGPT, Adobe Firefly, Claude, Figma, DALL-E</x:v>
      </x:c>
      <x:c r="P48" s="9" t="str">
        <x:v>https://hiringcafe.com/job/senior-ai-creative-specialist-omnicom-group-los-angeles-california-ojikvt97bcp3q02c</x:v>
      </x:c>
      <x:c r="Q48" s="9" t="str"/>
      <x:c r="R48" s="9" t="str"/>
      <x:c r="S48" s="9" t="str">
        <x:v>Page header Omnicom Group but full JD Agency BBDO / WEST BBDO; original requisition unavailable</x:v>
      </x:c>
      <x:c r="T48" s="9" t="str">
        <x:v>yes</x:v>
      </x:c>
      <x:c r="U48" s="9" t="str">
        <x:v>HiringCafe ojikvt97bcp3q02c</x:v>
      </x:c>
    </x:row>
    <x:row r="49" ht="66" customHeight="1">
      <x:c r="A49" s="2" t="str">
        <x:v>J048</x:v>
      </x:c>
      <x:c r="B49" s="2" t="str">
        <x:v>A06</x:v>
      </x:c>
      <x:c r="C49" s="9" t="str">
        <x:v>TBWA</x:v>
      </x:c>
      <x:c r="D49" s="2" t="str">
        <x:v>Агентства</x:v>
      </x:c>
      <x:c r="E49" s="9" t="str">
        <x:v>TBWA basket (legal entity DDB basket Sp. z o.o.)</x:v>
      </x:c>
      <x:c r="F49" s="9" t="str">
        <x:v>Creative Technologist</x:v>
      </x:c>
      <x:c r="G49" s="9" t="str">
        <x:v>Warsaw, Poland</x:v>
      </x:c>
      <x:c r="H49" s="7"/>
      <x:c r="I49" s="9" t="str">
        <x:v>unknown; reference 7/26</x:v>
      </x:c>
      <x:c r="J49" s="9" t="str">
        <x:v>listed</x:v>
      </x:c>
      <x:c r="K49" s="8" t="n">
        <x:v>0</x:v>
      </x:c>
      <x:c r="L49" s="8" t="n">
        <x:v>1</x:v>
      </x:c>
      <x:c r="M49" s="8" t="n">
        <x:v>0</x:v>
      </x:c>
      <x:c r="N49" s="9" t="str">
        <x:v>primary_careers</x:v>
      </x:c>
      <x:c r="O49" s="9" t="str">
        <x:v>znajomość narzędzi AI (np. Runway, ChatGPT API, Make)</x:v>
      </x:c>
      <x:c r="P49" s="9" t="str">
        <x:v>https://ddb.pl/kariera/creative-technologist-ddbbasket/</x:v>
      </x:c>
      <x:c r="Q49" s="9" t="str"/>
      <x:c r="R49" s="9" t="str">
        <x:v>https://ddb.pl/kariera/creative-technologist-ddbbasket/</x:v>
      </x:c>
      <x:c r="S49" s="9" t="str">
        <x:v>Page expressly TBWA basket ex DDB basket; legal employer remains DDB basket. Counted once under present explicit TBWA branding; not a second DDB job</x:v>
      </x:c>
      <x:c r="T49" s="9" t="str">
        <x:v>yes</x:v>
      </x:c>
      <x:c r="U49" s="9" t="str">
        <x:v>7/26</x:v>
      </x:c>
    </x:row>
    <x:row r="50" ht="66" customHeight="1">
      <x:c r="A50" s="2" t="str">
        <x:v>J049</x:v>
      </x:c>
      <x:c r="B50" s="2" t="str">
        <x:v>A06</x:v>
      </x:c>
      <x:c r="C50" s="9" t="str">
        <x:v>TBWA</x:v>
      </x:c>
      <x:c r="D50" s="2" t="str">
        <x:v>Агентства</x:v>
      </x:c>
      <x:c r="E50" s="9" t="str">
        <x:v>TBWA Group Singapore</x:v>
      </x:c>
      <x:c r="F50" s="9" t="str">
        <x:v>Associate Creative Directors - Copy/Art Team</x:v>
      </x:c>
      <x:c r="G50" s="9" t="str">
        <x:v>Singapore</x:v>
      </x:c>
      <x:c r="H50" s="7"/>
      <x:c r="I50" s="9" t="str">
        <x:v>unknown; page says 1 year ago</x:v>
      </x:c>
      <x:c r="J50" s="9" t="str">
        <x:v>historical listing</x:v>
      </x:c>
      <x:c r="K50" s="8" t="n">
        <x:v>0</x:v>
      </x:c>
      <x:c r="L50" s="8" t="n">
        <x:v>0</x:v>
      </x:c>
      <x:c r="M50" s="8" t="n">
        <x:v>1</x:v>
      </x:c>
      <x:c r="N50" s="9" t="str">
        <x:v>employer_linkedin</x:v>
      </x:c>
      <x:c r="O50" s="9" t="str">
        <x:v>Proven curiosity for and hands-on experience with generative AI tools (e.g. Adobe Firefly, ChatGPT for ideation).</x:v>
      </x:c>
      <x:c r="P50" s="9" t="str">
        <x:v>https://sg.linkedin.com/jobs/view/associate-creative-directors-copy-art-team-at-tbwa-group-singapore-4263338278</x:v>
      </x:c>
      <x:c r="Q50" s="9" t="str"/>
      <x:c r="R50" s="9" t="str"/>
      <x:c r="S50" s="9" t="str">
        <x:v>One joint-team requisition counted once, not as two jobs</x:v>
      </x:c>
      <x:c r="T50" s="9" t="str">
        <x:v>yes</x:v>
      </x:c>
      <x:c r="U50" s="9" t="str">
        <x:v>LinkedIn 4263338278</x:v>
      </x:c>
    </x:row>
    <x:row r="51" ht="66" customHeight="1">
      <x:c r="A51" s="2" t="str">
        <x:v>J050</x:v>
      </x:c>
      <x:c r="B51" s="2" t="str">
        <x:v>A06</x:v>
      </x:c>
      <x:c r="C51" s="9" t="str">
        <x:v>TBWA</x:v>
      </x:c>
      <x:c r="D51" s="2" t="str">
        <x:v>Агентства</x:v>
      </x:c>
      <x:c r="E51" s="9" t="str">
        <x:v>MAKE (TBWA Belgium)</x:v>
      </x:c>
      <x:c r="F51" s="9" t="str">
        <x:v>Junior Video Editor / Motion Designer</x:v>
      </x:c>
      <x:c r="G51" s="9" t="str">
        <x:v>Zaventem / Brussels region, Belgium</x:v>
      </x:c>
      <x:c r="H51" s="7"/>
      <x:c r="I51" s="9" t="str">
        <x:v>unknown</x:v>
      </x:c>
      <x:c r="J51" s="9" t="str">
        <x:v>listed; opening status unconfirmed</x:v>
      </x:c>
      <x:c r="K51" s="8" t="n">
        <x:v>0</x:v>
      </x:c>
      <x:c r="L51" s="8" t="n">
        <x:v>1</x:v>
      </x:c>
      <x:c r="M51" s="8" t="n">
        <x:v>0</x:v>
      </x:c>
      <x:c r="N51" s="9" t="str">
        <x:v>job_board</x:v>
      </x:c>
      <x:c r="O51" s="9" t="str">
        <x:v>Someone curious about generative AI who already has hands-on experience with tools like Runway, NanoBanana, Veo</x:v>
      </x:c>
      <x:c r="P51" s="9" t="str">
        <x:v>https://www.yaymonday.be/jobs/junior-video-editor-motion-designer-make-tbwa</x:v>
      </x:c>
      <x:c r="Q51" s="9" t="str"/>
      <x:c r="R51" s="9" t="str">
        <x:v>https://tbwa.be/make/</x:v>
      </x:c>
      <x:c r="S51" s="9" t="str">
        <x:v>TBWA official site identifies MAKE as in-house production crew</x:v>
      </x:c>
      <x:c r="T51" s="9" t="str">
        <x:v>yes</x:v>
      </x:c>
      <x:c r="U51" s="9" t="str"/>
    </x:row>
    <x:row r="52" ht="66" customHeight="1">
      <x:c r="A52" s="2" t="str">
        <x:v>J051</x:v>
      </x:c>
      <x:c r="B52" s="2" t="str">
        <x:v>A06</x:v>
      </x:c>
      <x:c r="C52" s="9" t="str">
        <x:v>TBWA</x:v>
      </x:c>
      <x:c r="D52" s="2" t="str">
        <x:v>Агентства</x:v>
      </x:c>
      <x:c r="E52" s="9" t="str">
        <x:v>TBWA Paris</x:v>
      </x:c>
      <x:c r="F52" s="9" t="str">
        <x:v>Alternance - Assistant.e Directeur.trice Artistique / Motion Designer F/M</x:v>
      </x:c>
      <x:c r="G52" s="9" t="str">
        <x:v>Boulogne-Billancourt, France</x:v>
      </x:c>
      <x:c r="H52" s="7"/>
      <x:c r="I52" s="9" t="str">
        <x:v>unknown; relative repost times unstable</x:v>
      </x:c>
      <x:c r="J52" s="9" t="str">
        <x:v>listed</x:v>
      </x:c>
      <x:c r="K52" s="8" t="n">
        <x:v>0</x:v>
      </x:c>
      <x:c r="L52" s="8" t="n">
        <x:v>1</x:v>
      </x:c>
      <x:c r="M52" s="8" t="n">
        <x:v>0</x:v>
      </x:c>
      <x:c r="N52" s="9" t="str">
        <x:v>employer_linkedin</x:v>
      </x:c>
      <x:c r="O52" s="9" t="str">
        <x:v>Maîtrise ou forte appétence pour les outils de génération IA (Runway, Gemini, Eleven Labs...)</x:v>
      </x:c>
      <x:c r="P52" s="9" t="str">
        <x:v>https://fr.linkedin.com/jobs/view/alternance-assistant-e-directeur-trice-artistique-motion-designer-f-m-at-tbwa-paris-4469306044</x:v>
      </x:c>
      <x:c r="Q52" s="9" t="str"/>
      <x:c r="R52" s="9" t="str"/>
      <x:c r="S52" s="9" t="str">
        <x:v>Full body retrieved directly from LinkedIn; suspicious proxy result excluded</x:v>
      </x:c>
      <x:c r="T52" s="9" t="str">
        <x:v>yes</x:v>
      </x:c>
      <x:c r="U52" s="9" t="str">
        <x:v>LinkedIn 4469306044</x:v>
      </x:c>
    </x:row>
    <x:row r="53" ht="66" customHeight="1">
      <x:c r="A53" s="2" t="str">
        <x:v>J052</x:v>
      </x:c>
      <x:c r="B53" s="2" t="str">
        <x:v>A06</x:v>
      </x:c>
      <x:c r="C53" s="9" t="str">
        <x:v>TBWA</x:v>
      </x:c>
      <x:c r="D53" s="2" t="str">
        <x:v>Агентства</x:v>
      </x:c>
      <x:c r="E53" s="9" t="str">
        <x:v>TBWA Group Vietnam</x:v>
      </x:c>
      <x:c r="F53" s="9" t="str">
        <x:v>Senior Art Director (Lead team)</x:v>
      </x:c>
      <x:c r="G53" s="9" t="str">
        <x:v>Ho Chi Minh City, Vietnam</x:v>
      </x:c>
      <x:c r="H53" s="7"/>
      <x:c r="I53" s="9" t="str">
        <x:v>unknown</x:v>
      </x:c>
      <x:c r="J53" s="9" t="str">
        <x:v>listed</x:v>
      </x:c>
      <x:c r="K53" s="8" t="n">
        <x:v>0</x:v>
      </x:c>
      <x:c r="L53" s="8" t="n">
        <x:v>1</x:v>
      </x:c>
      <x:c r="M53" s="8" t="n">
        <x:v>0</x:v>
      </x:c>
      <x:c r="N53" s="9" t="str">
        <x:v>employer_linkedin</x:v>
      </x:c>
      <x:c r="O53" s="9" t="str">
        <x:v>Advanced hands-on experience across a broad ecosystem of AI creative tools (e.g. ChatGPT, Magnific, Runway, Kling, etc.)</x:v>
      </x:c>
      <x:c r="P53" s="9" t="str">
        <x:v>https://vn.linkedin.com/jobs/view/senior-art-director-lead-team-at-tbwa-group-vietnam-4467507240</x:v>
      </x:c>
      <x:c r="Q53" s="9" t="str"/>
      <x:c r="R53" s="9" t="str"/>
      <x:c r="S53" s="9" t="str">
        <x:v>JD body says Creative Manager (Art-based); title retained as posted</x:v>
      </x:c>
      <x:c r="T53" s="9" t="str">
        <x:v>yes</x:v>
      </x:c>
      <x:c r="U53" s="9" t="str">
        <x:v>LinkedIn 4467507240</x:v>
      </x:c>
    </x:row>
    <x:row r="54" ht="66" customHeight="1">
      <x:c r="A54" s="2" t="str">
        <x:v>J053</x:v>
      </x:c>
      <x:c r="B54" s="2" t="str">
        <x:v>A07</x:v>
      </x:c>
      <x:c r="C54" s="9" t="str">
        <x:v>McCann</x:v>
      </x:c>
      <x:c r="D54" s="2" t="str">
        <x:v>Агентства</x:v>
      </x:c>
      <x:c r="E54" s="9" t="str">
        <x:v>McCann Erickson Paris</x:v>
      </x:c>
      <x:c r="F54" s="9" t="str">
        <x:v>CDI - DIRECTEUR ARTISTIQUE SENIOR IA - H/F</x:v>
      </x:c>
      <x:c r="G54" s="9" t="str">
        <x:v>Neuilly-sur-Seine, France</x:v>
      </x:c>
      <x:c r="H54" s="7" t="n">
        <x:v>46259</x:v>
      </x:c>
      <x:c r="I54" s="9" t="str">
        <x:v>2026-08-25</x:v>
      </x:c>
      <x:c r="J54" s="9" t="str">
        <x:v>listed</x:v>
      </x:c>
      <x:c r="K54" s="8" t="n">
        <x:v>0</x:v>
      </x:c>
      <x:c r="L54" s="8" t="n">
        <x:v>1</x:v>
      </x:c>
      <x:c r="M54" s="8" t="n">
        <x:v>1</x:v>
      </x:c>
      <x:c r="N54" s="9" t="str">
        <x:v>primary_ats</x:v>
      </x:c>
      <x:c r="O54" s="9" t="str">
        <x:v>Concevoir et piloter des campagnes intégrant des outils IA (Midjourney, Runway, Adobe Firefly, Krea, Sora...).</x:v>
      </x:c>
      <x:c r="P54" s="9" t="str">
        <x:v>https://mccann.softy.pro/offers/156931</x:v>
      </x:c>
      <x:c r="Q54" s="9" t="str"/>
      <x:c r="R54" s="9" t="str"/>
      <x:c r="S54" s="9" t="str">
        <x:v>Jobijoba mirror of same role merged</x:v>
      </x:c>
      <x:c r="T54" s="9" t="str">
        <x:v>yes</x:v>
      </x:c>
      <x:c r="U54" s="9" t="str">
        <x:v>Softy 156931</x:v>
      </x:c>
    </x:row>
    <x:row r="55" ht="66" customHeight="1">
      <x:c r="A55" s="2" t="str">
        <x:v>J054</x:v>
      </x:c>
      <x:c r="B55" s="2" t="str">
        <x:v>A07</x:v>
      </x:c>
      <x:c r="C55" s="9" t="str">
        <x:v>McCann</x:v>
      </x:c>
      <x:c r="D55" s="2" t="str">
        <x:v>Агентства</x:v>
      </x:c>
      <x:c r="E55" s="9" t="str">
        <x:v>McCann Shanghai</x:v>
      </x:c>
      <x:c r="F55" s="9" t="str">
        <x:v>AI Art Director</x:v>
      </x:c>
      <x:c r="G55" s="9" t="str">
        <x:v>Shanghai, China</x:v>
      </x:c>
      <x:c r="H55" s="7"/>
      <x:c r="I55" s="9" t="str">
        <x:v>unknown; page says 11 months ago</x:v>
      </x:c>
      <x:c r="J55" s="9" t="str">
        <x:v>closed</x:v>
      </x:c>
      <x:c r="K55" s="8" t="n">
        <x:v>0</x:v>
      </x:c>
      <x:c r="L55" s="8" t="n">
        <x:v>1</x:v>
      </x:c>
      <x:c r="M55" s="8" t="n">
        <x:v>0</x:v>
      </x:c>
      <x:c r="N55" s="9" t="str">
        <x:v>employer_linkedin</x:v>
      </x:c>
      <x:c r="O55" s="9" t="str">
        <x:v>Deep experience with ComfyUI, Runway, Veo, Pika, Flux Models, MidJourney, and similar platforms.</x:v>
      </x:c>
      <x:c r="P55" s="9" t="str">
        <x:v>https://cn.linkedin.com/jobs/view/ai-art-director-at-mccann-4314948332</x:v>
      </x:c>
      <x:c r="Q55" s="9" t="str"/>
      <x:c r="R55" s="9" t="str"/>
      <x:c r="S55" s="9" t="str"/>
      <x:c r="T55" s="9" t="str">
        <x:v>yes</x:v>
      </x:c>
      <x:c r="U55" s="9" t="str">
        <x:v>LinkedIn 4314948332</x:v>
      </x:c>
    </x:row>
    <x:row r="56" ht="66" customHeight="1">
      <x:c r="A56" s="2" t="str">
        <x:v>J055</x:v>
      </x:c>
      <x:c r="B56" s="2" t="str">
        <x:v>A07</x:v>
      </x:c>
      <x:c r="C56" s="9" t="str">
        <x:v>McCann</x:v>
      </x:c>
      <x:c r="D56" s="2" t="str">
        <x:v>Агентства</x:v>
      </x:c>
      <x:c r="E56" s="9" t="str">
        <x:v>McCann Singapore</x:v>
      </x:c>
      <x:c r="F56" s="9" t="str">
        <x:v>Digital Art Director</x:v>
      </x:c>
      <x:c r="G56" s="9" t="str">
        <x:v>Singapore</x:v>
      </x:c>
      <x:c r="H56" s="7"/>
      <x:c r="I56" s="9" t="str">
        <x:v>unknown; relative time inconsistent across crawls</x:v>
      </x:c>
      <x:c r="J56" s="9" t="str">
        <x:v>status uncertain; full historical/current JD retained</x:v>
      </x:c>
      <x:c r="K56" s="8" t="n">
        <x:v>0</x:v>
      </x:c>
      <x:c r="L56" s="8" t="n">
        <x:v>1</x:v>
      </x:c>
      <x:c r="M56" s="8" t="n">
        <x:v>1</x:v>
      </x:c>
      <x:c r="N56" s="9" t="str">
        <x:v>employer_linkedin</x:v>
      </x:c>
      <x:c r="O56" s="9" t="str">
        <x:v>Familiarity with AI tools such as GPT2 Images and NanoBanana , Runway, or Adobe Firefly for visual ideation and prototyping</x:v>
      </x:c>
      <x:c r="P56" s="9" t="str">
        <x:v>https://sg.linkedin.com/jobs/view/digital-art-director-at-mccann-singapore-4461117019</x:v>
      </x:c>
      <x:c r="Q56" s="9" t="str"/>
      <x:c r="R56" s="9" t="str"/>
      <x:c r="S56" s="9" t="str">
        <x:v>Open page said accepting; indexed result said closed. No active-vacancy claim</x:v>
      </x:c>
      <x:c r="T56" s="9" t="str">
        <x:v>yes</x:v>
      </x:c>
      <x:c r="U56" s="9" t="str">
        <x:v>LinkedIn 4461117019</x:v>
      </x:c>
    </x:row>
    <x:row r="57" ht="66" customHeight="1">
      <x:c r="A57" s="2" t="str">
        <x:v>J056</x:v>
      </x:c>
      <x:c r="B57" s="2" t="str">
        <x:v>A07</x:v>
      </x:c>
      <x:c r="C57" s="9" t="str">
        <x:v>McCann</x:v>
      </x:c>
      <x:c r="D57" s="2" t="str">
        <x:v>Агентства</x:v>
      </x:c>
      <x:c r="E57" s="9" t="str">
        <x:v>McCann Worldgroup</x:v>
      </x:c>
      <x:c r="F57" s="9" t="str">
        <x:v>Prompt Engineer</x:v>
      </x:c>
      <x:c r="G57" s="9" t="str">
        <x:v>Mumbai, India</x:v>
      </x:c>
      <x:c r="H57" s="7"/>
      <x:c r="I57" s="9" t="str">
        <x:v>unknown</x:v>
      </x:c>
      <x:c r="J57" s="9" t="str">
        <x:v>mirror; opening status unconfirmed</x:v>
      </x:c>
      <x:c r="K57" s="8" t="n">
        <x:v>0</x:v>
      </x:c>
      <x:c r="L57" s="8" t="n">
        <x:v>1</x:v>
      </x:c>
      <x:c r="M57" s="8" t="n">
        <x:v>0</x:v>
      </x:c>
      <x:c r="N57" s="9" t="str">
        <x:v>job_board_mirror</x:v>
      </x:c>
      <x:c r="O57" s="9" t="str">
        <x:v>Proficiency in prompt crafting for tools such as ChatGPT, Midjourney, Runway, or similar.</x:v>
      </x:c>
      <x:c r="P57" s="9" t="str">
        <x:v>https://jobs.weekday.works/mccann-worldgroup-prompt-engineer</x:v>
      </x:c>
      <x:c r="Q57" s="9" t="str"/>
      <x:c r="R57" s="9" t="str"/>
      <x:c r="S57" s="9" t="str">
        <x:v>Creative postproduction workflows rather than generic software engineering</x:v>
      </x:c>
      <x:c r="T57" s="9" t="str">
        <x:v>yes</x:v>
      </x:c>
      <x:c r="U57" s="9" t="str"/>
    </x:row>
    <x:row r="58" ht="66" customHeight="1">
      <x:c r="A58" s="2" t="str">
        <x:v>J057</x:v>
      </x:c>
      <x:c r="B58" s="2" t="str">
        <x:v>A07</x:v>
      </x:c>
      <x:c r="C58" s="9" t="str">
        <x:v>McCann</x:v>
      </x:c>
      <x:c r="D58" s="2" t="str">
        <x:v>Агентства</x:v>
      </x:c>
      <x:c r="E58" s="9" t="str">
        <x:v>McCann Worldgroup</x:v>
      </x:c>
      <x:c r="F58" s="9" t="str">
        <x:v>Associate Creative Director</x:v>
      </x:c>
      <x:c r="G58" s="9" t="str">
        <x:v>Bangalore, India</x:v>
      </x:c>
      <x:c r="H58" s="7"/>
      <x:c r="I58" s="9" t="str">
        <x:v>unknown</x:v>
      </x:c>
      <x:c r="J58" s="9" t="str">
        <x:v>mirror; opening status unconfirmed</x:v>
      </x:c>
      <x:c r="K58" s="8" t="n">
        <x:v>0</x:v>
      </x:c>
      <x:c r="L58" s="8" t="n">
        <x:v>1</x:v>
      </x:c>
      <x:c r="M58" s="8" t="n">
        <x:v>1</x:v>
      </x:c>
      <x:c r="N58" s="9" t="str">
        <x:v>job_board_mirror</x:v>
      </x:c>
      <x:c r="O58" s="9" t="str">
        <x:v>Use modern AI design tools (Adobe Firefly, MidJourney, Runway, Figma AI, Canva AI, etc.) to create and adapt high-quality creatives</x:v>
      </x:c>
      <x:c r="P58" s="9" t="str">
        <x:v>https://jobs.weekday.works/mccann-worldgroup-associate-creative-director</x:v>
      </x:c>
      <x:c r="Q58" s="9" t="str"/>
      <x:c r="R58" s="9" t="str"/>
      <x:c r="S58" s="9" t="str">
        <x:v>JD body calls role Art Lead; matching Recruit.net Bengaluru mirror conservatively merged</x:v>
      </x:c>
      <x:c r="T58" s="9" t="str">
        <x:v>yes</x:v>
      </x:c>
      <x:c r="U58" s="9" t="str"/>
    </x:row>
    <x:row r="59" ht="66" customHeight="1">
      <x:c r="A59" s="2" t="str">
        <x:v>J058</x:v>
      </x:c>
      <x:c r="B59" s="2" t="str">
        <x:v>A07</x:v>
      </x:c>
      <x:c r="C59" s="9" t="str">
        <x:v>McCann</x:v>
      </x:c>
      <x:c r="D59" s="2" t="str">
        <x:v>Агентства</x:v>
      </x:c>
      <x:c r="E59" s="9" t="str">
        <x:v>FP7 McCann</x:v>
      </x:c>
      <x:c r="F59" s="9" t="str">
        <x:v>Digital Art Director (Motion+AI)</x:v>
      </x:c>
      <x:c r="G59" s="9" t="str">
        <x:v>Beirut, Lebanon</x:v>
      </x:c>
      <x:c r="H59" s="7"/>
      <x:c r="I59" s="9" t="str">
        <x:v>unknown; page says 6 months ago</x:v>
      </x:c>
      <x:c r="J59" s="9" t="str">
        <x:v>closed</x:v>
      </x:c>
      <x:c r="K59" s="8" t="n">
        <x:v>1</x:v>
      </x:c>
      <x:c r="L59" s="8" t="n">
        <x:v>1</x:v>
      </x:c>
      <x:c r="M59" s="8" t="n">
        <x:v>0</x:v>
      </x:c>
      <x:c r="N59" s="9" t="str">
        <x:v>employer_linkedin</x:v>
      </x:c>
      <x:c r="O59" s="9" t="str">
        <x:v>Use AI video tools (Runway, Kling, Pika, Higgsfield, etc.) for concept mockups, background animation, scene extensions, digital doubles, and motion experimentation</x:v>
      </x:c>
      <x:c r="P59" s="9" t="str">
        <x:v>https://lb.linkedin.com/jobs/view/digital-art-director-motion%2Bai-at-fp7-mccann-4384477004</x:v>
      </x:c>
      <x:c r="Q59" s="9" t="str"/>
      <x:c r="R59" s="9" t="str"/>
      <x:c r="S59" s="9" t="str"/>
      <x:c r="T59" s="9" t="str">
        <x:v>yes</x:v>
      </x:c>
      <x:c r="U59" s="9" t="str">
        <x:v>LinkedIn 4384477004</x:v>
      </x:c>
    </x:row>
    <x:row r="60" ht="66" customHeight="1">
      <x:c r="A60" s="2" t="str">
        <x:v>J059</x:v>
      </x:c>
      <x:c r="B60" s="2" t="str">
        <x:v>A08</x:v>
      </x:c>
      <x:c r="C60" s="9" t="str">
        <x:v>FCB</x:v>
      </x:c>
      <x:c r="D60" s="2" t="str">
        <x:v>Агентства</x:v>
      </x:c>
      <x:c r="E60" s="9" t="str">
        <x:v>FCB Kinnect</x:v>
      </x:c>
      <x:c r="F60" s="9" t="str">
        <x:v>AI Art &amp; Motion Director</x:v>
      </x:c>
      <x:c r="G60" s="9" t="str">
        <x:v>Mumbai, India</x:v>
      </x:c>
      <x:c r="H60" s="7"/>
      <x:c r="I60" s="9" t="str">
        <x:v>2025-12-17 (mirror posting date)</x:v>
      </x:c>
      <x:c r="J60" s="9" t="str">
        <x:v>historical mirror; Foundit duplicate says closed</x:v>
      </x:c>
      <x:c r="K60" s="8" t="n">
        <x:v>1</x:v>
      </x:c>
      <x:c r="L60" s="8" t="n">
        <x:v>1</x:v>
      </x:c>
      <x:c r="M60" s="8" t="n">
        <x:v>0</x:v>
      </x:c>
      <x:c r="N60" s="9" t="str">
        <x:v>historical_mirror</x:v>
      </x:c>
      <x:c r="O60" s="9" t="str">
        <x:v>Hands-on experience with AI tools (Veo 3, Midjourney, Higgsfield, Runway, Pika and Kling).</x:v>
      </x:c>
      <x:c r="P60" s="9" t="str">
        <x:v>https://getmereferred.com/job-listing/ai-art-motion-director-fcb-kinnect-mumbai-5-to-7-years-experience-cbabb472-b832-45a6-a28d-45851545b927</x:v>
      </x:c>
      <x:c r="Q60" s="9" t="str"/>
      <x:c r="R60" s="9" t="str">
        <x:v>https://www.lastaki.com/clients-and-transactions.html</x:v>
      </x:c>
      <x:c r="S60" s="9" t="str">
        <x:v>Foundit /39223841 Job ID 134323615 and BeBee duplicate merged. Historical FCB employer kept despite subsequent network changes</x:v>
      </x:c>
      <x:c r="T60" s="9" t="str">
        <x:v>yes</x:v>
      </x:c>
      <x:c r="U60" s="9" t="str">
        <x:v>GetMeReferred cbabb472-b832-45a6-a28d-45851545b927</x:v>
      </x:c>
    </x:row>
    <x:row r="61" ht="66" customHeight="1">
      <x:c r="A61" s="2" t="str">
        <x:v>J060</x:v>
      </x:c>
      <x:c r="B61" s="2" t="str">
        <x:v>A08</x:v>
      </x:c>
      <x:c r="C61" s="9" t="str">
        <x:v>FCB</x:v>
      </x:c>
      <x:c r="D61" s="2" t="str">
        <x:v>Агентства</x:v>
      </x:c>
      <x:c r="E61" s="9" t="str">
        <x:v>FCB London</x:v>
      </x:c>
      <x:c r="F61" s="9" t="str">
        <x:v>Midweight Designer</x:v>
      </x:c>
      <x:c r="G61" s="9" t="str">
        <x:v>London, UK</x:v>
      </x:c>
      <x:c r="H61" s="7" t="n">
        <x:v>45708</x:v>
      </x:c>
      <x:c r="I61" s="9" t="str">
        <x:v>2025-02-20</x:v>
      </x:c>
      <x:c r="J61" s="9" t="str">
        <x:v>historical; application ended 2025-04-06</x:v>
      </x:c>
      <x:c r="K61" s="8" t="n">
        <x:v>0</x:v>
      </x:c>
      <x:c r="L61" s="8" t="n">
        <x:v>1</x:v>
      </x:c>
      <x:c r="M61" s="8" t="n">
        <x:v>1</x:v>
      </x:c>
      <x:c r="N61" s="9" t="str">
        <x:v>job_board</x:v>
      </x:c>
      <x:c r="O61" s="9" t="str">
        <x:v>Experienced in Adobe Creative Suite and a willingness to experiment with emerging tools like MidJourney, Runway, and Firefly for conceptual exploration.</x:v>
      </x:c>
      <x:c r="P61" s="9" t="str">
        <x:v>https://www.ifyoucouldjobs.com/jobs/2741973661</x:v>
      </x:c>
      <x:c r="Q61" s="9" t="str"/>
      <x:c r="R61" s="9" t="str"/>
      <x:c r="S61" s="9" t="str">
        <x:v>Historical FCB employer preserved</x:v>
      </x:c>
      <x:c r="T61" s="9" t="str">
        <x:v>yes</x:v>
      </x:c>
      <x:c r="U61" s="9" t="str">
        <x:v>IfYouCould 2741973661</x:v>
      </x:c>
    </x:row>
    <x:row r="62" ht="66" customHeight="1">
      <x:c r="A62" s="2" t="str">
        <x:v>J061</x:v>
      </x:c>
      <x:c r="B62" s="2" t="str">
        <x:v>A10</x:v>
      </x:c>
      <x:c r="C62" s="9" t="str">
        <x:v>Saatchi &amp; Saatchi</x:v>
      </x:c>
      <x:c r="D62" s="2" t="str">
        <x:v>Агентства</x:v>
      </x:c>
      <x:c r="E62" s="9" t="str">
        <x:v>Saatchi &amp; Saatchi Poland</x:v>
      </x:c>
      <x:c r="F62" s="9" t="str">
        <x:v>Art Director</x:v>
      </x:c>
      <x:c r="G62" s="9" t="str">
        <x:v>Warsaw, Poland</x:v>
      </x:c>
      <x:c r="H62" s="7"/>
      <x:c r="I62" s="9" t="str">
        <x:v>unknown</x:v>
      </x:c>
      <x:c r="J62" s="9" t="str">
        <x:v>listed historical/current JD; status not guaranteed</x:v>
      </x:c>
      <x:c r="K62" s="8" t="n">
        <x:v>0</x:v>
      </x:c>
      <x:c r="L62" s="8" t="n">
        <x:v>1</x:v>
      </x:c>
      <x:c r="M62" s="8" t="n">
        <x:v>1</x:v>
      </x:c>
      <x:c r="N62" s="9" t="str">
        <x:v>employer_linkedin</x:v>
      </x:c>
      <x:c r="O62" s="9" t="str">
        <x:v>Pracujesz z narzędziami do generacji obrazów (Midjourney, Adobe Firefly, Gemini, Flux), wideo (Runway, Sora, Veo)</x:v>
      </x:c>
      <x:c r="P62" s="9" t="str">
        <x:v>https://pl.linkedin.com/jobs/view/art-director-at-saatchi-saatchi-poland-4344823824</x:v>
      </x:c>
      <x:c r="Q62" s="9" t="str"/>
      <x:c r="R62" s="9" t="str"/>
      <x:c r="S62" s="9" t="str">
        <x:v>Distinct from M&amp;C Saatchi, which was excluded</x:v>
      </x:c>
      <x:c r="T62" s="9" t="str">
        <x:v>yes</x:v>
      </x:c>
      <x:c r="U62" s="9" t="str">
        <x:v>LinkedIn 4344823824</x:v>
      </x:c>
    </x:row>
    <x:row r="63" ht="66" customHeight="1">
      <x:c r="A63" s="2" t="str">
        <x:v>J062</x:v>
      </x:c>
      <x:c r="B63" s="2" t="str">
        <x:v>A07</x:v>
      </x:c>
      <x:c r="C63" s="9" t="str">
        <x:v>McCann</x:v>
      </x:c>
      <x:c r="D63" s="2" t="str">
        <x:v>Агентства</x:v>
      </x:c>
      <x:c r="E63" s="9" t="str">
        <x:v>McCann Greece</x:v>
      </x:c>
      <x:c r="F63" s="9" t="str">
        <x:v>Digital Art Director</x:v>
      </x:c>
      <x:c r="G63" s="9" t="str">
        <x:v>Khalandri, Greece</x:v>
      </x:c>
      <x:c r="H63" s="7"/>
      <x:c r="I63" s="9" t="str">
        <x:v>unknown; page says 3 months ago</x:v>
      </x:c>
      <x:c r="J63" s="9" t="str">
        <x:v>closed</x:v>
      </x:c>
      <x:c r="K63" s="8" t="n">
        <x:v>0</x:v>
      </x:c>
      <x:c r="L63" s="8" t="n">
        <x:v>1</x:v>
      </x:c>
      <x:c r="M63" s="8" t="n">
        <x:v>1</x:v>
      </x:c>
      <x:c r="N63" s="9" t="str">
        <x:v>employer_linkedin</x:v>
      </x:c>
      <x:c r="O63" s="9" t="str">
        <x:v>champion the integration of AI tools (Midjourney, Firefly, Runway, ChatGPT) into the Content Lab workflow to elevate both speed and craft</x:v>
      </x:c>
      <x:c r="P63" s="9" t="str">
        <x:v>https://gr.linkedin.com/jobs/view/digital-art-director-at-mccann-greece-4412295939</x:v>
      </x:c>
      <x:c r="Q63" s="9" t="str"/>
      <x:c r="R63" s="9" t="str"/>
      <x:c r="S63" s="9" t="str"/>
      <x:c r="T63" s="9" t="str">
        <x:v>yes</x:v>
      </x:c>
      <x:c r="U63" s="9" t="str">
        <x:v>LinkedIn 4412295939</x:v>
      </x:c>
    </x:row>
    <x:row r="64" ht="66" customHeight="1">
      <x:c r="A64" s="2" t="str">
        <x:v>J063</x:v>
      </x:c>
      <x:c r="B64" s="2" t="str">
        <x:v>A07</x:v>
      </x:c>
      <x:c r="C64" s="9" t="str">
        <x:v>McCann</x:v>
      </x:c>
      <x:c r="D64" s="2" t="str">
        <x:v>Агентства</x:v>
      </x:c>
      <x:c r="E64" s="9" t="str">
        <x:v>McCann TLV</x:v>
      </x:c>
      <x:c r="F64" s="9" t="str">
        <x:v>Creative AI Designer</x:v>
      </x:c>
      <x:c r="G64" s="9" t="str">
        <x:v>Tel Aviv, Israel</x:v>
      </x:c>
      <x:c r="H64" s="7"/>
      <x:c r="I64" s="9" t="str">
        <x:v>unknown; page says 7 months ago</x:v>
      </x:c>
      <x:c r="J64" s="9" t="str">
        <x:v>closed</x:v>
      </x:c>
      <x:c r="K64" s="8" t="n">
        <x:v>0</x:v>
      </x:c>
      <x:c r="L64" s="8" t="n">
        <x:v>0</x:v>
      </x:c>
      <x:c r="M64" s="8" t="n">
        <x:v>1</x:v>
      </x:c>
      <x:c r="N64" s="9" t="str">
        <x:v>employer_linkedin</x:v>
      </x:c>
      <x:c r="O64" s="9" t="str">
        <x:v>היכרות מעמיקה עם כלי ה-GenAi המובילים: Sora, Kling, Veo3, Firefly, Krea, Seedream ועוד</x:v>
      </x:c>
      <x:c r="P64" s="9" t="str">
        <x:v>https://il.linkedin.com/jobs/view/creative-ai-designer-at-mccann-tlv-4354019910</x:v>
      </x:c>
      <x:c r="Q64" s="9" t="str"/>
      <x:c r="R64" s="9" t="str"/>
      <x:c r="S64" s="9" t="str">
        <x:v>Translation: deep familiarity with leading GenAI tools; original primary application reference https://mccann.co.il/careers/comeet/?comeet=40.36E</x:v>
      </x:c>
      <x:c r="T64" s="9" t="str">
        <x:v>yes</x:v>
      </x:c>
      <x:c r="U64" s="9" t="str">
        <x:v>LinkedIn 4354019910; Comeet 40.36E</x:v>
      </x:c>
    </x:row>
    <x:row r="65" ht="66" customHeight="1">
      <x:c r="A65" s="2" t="str">
        <x:v>J064</x:v>
      </x:c>
      <x:c r="B65" s="2" t="str">
        <x:v>A10</x:v>
      </x:c>
      <x:c r="C65" s="9" t="str">
        <x:v>Saatchi &amp; Saatchi</x:v>
      </x:c>
      <x:c r="D65" s="2" t="str">
        <x:v>Агентства</x:v>
      </x:c>
      <x:c r="E65" s="9" t="str">
        <x:v>Saatchi &amp; Saatchi Poland</x:v>
      </x:c>
      <x:c r="F65" s="9" t="str">
        <x:v>Team Kreatywny (Art Director + Copywriter)</x:v>
      </x:c>
      <x:c r="G65" s="9" t="str">
        <x:v>Warsaw, Poland</x:v>
      </x:c>
      <x:c r="H65" s="7"/>
      <x:c r="I65" s="9" t="str">
        <x:v>unknown; page says 5 months ago</x:v>
      </x:c>
      <x:c r="J65" s="9" t="str">
        <x:v>closed</x:v>
      </x:c>
      <x:c r="K65" s="8" t="n">
        <x:v>0</x:v>
      </x:c>
      <x:c r="L65" s="8" t="n">
        <x:v>1</x:v>
      </x:c>
      <x:c r="M65" s="8" t="n">
        <x:v>1</x:v>
      </x:c>
      <x:c r="N65" s="9" t="str">
        <x:v>employer_linkedin</x:v>
      </x:c>
      <x:c r="O65" s="9" t="str">
        <x:v>Znajomość i praktyczne doświadczenie w narzędziach generatywnych: Gemini, Sora, Runway, Flux, Midjourney, Firefly i innych.</x:v>
      </x:c>
      <x:c r="P65" s="9" t="str">
        <x:v>https://pl.linkedin.com/jobs/view/team-kreatywny-art-director-%2B-copywriter-at-saatchi-saatchi-poland-4366037961</x:v>
      </x:c>
      <x:c r="Q65" s="9" t="str"/>
      <x:c r="R65" s="9" t="str"/>
      <x:c r="S65" s="9" t="str">
        <x:v>One team requisition counted once; text/role differs from standalone Art Director 4344823824</x:v>
      </x:c>
      <x:c r="T65" s="9" t="str">
        <x:v>yes</x:v>
      </x:c>
      <x:c r="U65" s="9" t="str">
        <x:v>LinkedIn 4366037961</x:v>
      </x:c>
    </x:row>
    <x:row r="66" ht="66" customHeight="1">
      <x:c r="A66" s="2" t="str">
        <x:v>J065</x:v>
      </x:c>
      <x:c r="B66" s="2" t="str">
        <x:v>A04</x:v>
      </x:c>
      <x:c r="C66" s="9" t="str">
        <x:v>Hogarth / WPP Production</x:v>
      </x:c>
      <x:c r="D66" s="2" t="str">
        <x:v>Агентства</x:v>
      </x:c>
      <x:c r="E66" s="9" t="str">
        <x:v>Hogarth</x:v>
      </x:c>
      <x:c r="F66" s="9" t="str">
        <x:v>Creative Art AI</x:v>
      </x:c>
      <x:c r="G66" s="9" t="str">
        <x:v>Madrid, Spain</x:v>
      </x:c>
      <x:c r="H66" s="7"/>
      <x:c r="I66" s="9" t="str">
        <x:v>unknown; removed 2025-08-20</x:v>
      </x:c>
      <x:c r="J66" s="9" t="str">
        <x:v>closed historical mirror</x:v>
      </x:c>
      <x:c r="K66" s="8" t="n">
        <x:v>0</x:v>
      </x:c>
      <x:c r="L66" s="8" t="n">
        <x:v>1</x:v>
      </x:c>
      <x:c r="M66" s="8" t="n">
        <x:v>1</x:v>
      </x:c>
      <x:c r="N66" s="9" t="str">
        <x:v>historical_mirror</x:v>
      </x:c>
      <x:c r="O66" s="9" t="str">
        <x:v>Hands-on experience with generative AI tools (e.g., Midjourney, DALL·E, Runway, Stable Diffusion, Adobe Firefly)</x:v>
      </x:c>
      <x:c r="P66" s="9" t="str">
        <x:v>https://builtin.com/job/creative-art-ai/6309900</x:v>
      </x:c>
      <x:c r="Q66" s="9" t="str"/>
      <x:c r="R66" s="9" t="str"/>
      <x:c r="S66" s="9" t="str"/>
      <x:c r="T66" s="9" t="str">
        <x:v>yes</x:v>
      </x:c>
      <x:c r="U66" s="9" t="str">
        <x:v>Built In 6309900</x:v>
      </x:c>
    </x:row>
    <x:row r="67" ht="66" customHeight="1">
      <x:c r="A67" s="2" t="str">
        <x:v>J066</x:v>
      </x:c>
      <x:c r="B67" s="2" t="str">
        <x:v>A16</x:v>
      </x:c>
      <x:c r="C67" s="9" t="str">
        <x:v>Monks</x:v>
      </x:c>
      <x:c r="D67" s="2" t="str">
        <x:v>Агентства</x:v>
      </x:c>
      <x:c r="E67" s="9" t="str">
        <x:v>Monks</x:v>
      </x:c>
      <x:c r="F67" s="9" t="str">
        <x:v>AI Artist &amp; AV Lead</x:v>
      </x:c>
      <x:c r="G67" s="9" t="str">
        <x:v>Buenos Aires; Mexico City</x:v>
      </x:c>
      <x:c r="H67" s="7" t="n">
        <x:v>46288</x:v>
      </x:c>
      <x:c r="I67" s="9" t="str">
        <x:v>2026-09-23</x:v>
      </x:c>
      <x:c r="J67" s="9" t="str">
        <x:v>open</x:v>
      </x:c>
      <x:c r="K67" s="8" t="n">
        <x:v>1</x:v>
      </x:c>
      <x:c r="L67" s="8" t="n">
        <x:v>1</x:v>
      </x:c>
      <x:c r="M67" s="8" t="n">
        <x:v>0</x:v>
      </x:c>
      <x:c r="N67" s="9" t="str">
        <x:v>1 - official ATS</x:v>
      </x:c>
      <x:c r="O67" s="9" t="str">
        <x:v>You have hands-on experience with the AI tools and models available to date ... ComfyUI, Runway, Higgsfield, Flora, Weavy, etc.</x:v>
      </x:c>
      <x:c r="P67" s="9" t="str">
        <x:v>https://www.monks.com/careers/6180154004/job?gh_jid=6180154004</x:v>
      </x:c>
      <x:c r="Q67" s="9" t="str">
        <x:v>https://www.monks.com/careers/6207879004/job?gh_jid=6207879004 | https://boards-api.greenhouse.io/v1/boards/monks/jobs/6180154004</x:v>
      </x:c>
      <x:c r="R67" s="9" t="str">
        <x:v>https://www.monks.com/careers/6180154004/job?gh_jid=6180154004</x:v>
      </x:c>
      <x:c r="S67" s="9" t="str">
        <x:v>Live public ATS read on 2026-10-06; publication date is ATS first_published, not update time. Deduplicated posting IDs 6180154004, 6207879004 via shared internal job ID or near-identical repost.</x:v>
      </x:c>
      <x:c r="T67" s="9" t="str">
        <x:v>yes</x:v>
      </x:c>
      <x:c r="U67" s="9" t="str">
        <x:v>12740</x:v>
      </x:c>
    </x:row>
    <x:row r="68" ht="66" customHeight="1">
      <x:c r="A68" s="2" t="str">
        <x:v>J067</x:v>
      </x:c>
      <x:c r="B68" s="2" t="str">
        <x:v>A16</x:v>
      </x:c>
      <x:c r="C68" s="9" t="str">
        <x:v>Monks</x:v>
      </x:c>
      <x:c r="D68" s="2" t="str">
        <x:v>Агентства</x:v>
      </x:c>
      <x:c r="E68" s="9" t="str">
        <x:v>Monks</x:v>
      </x:c>
      <x:c r="F68" s="9" t="str">
        <x:v>AI Senior Producer</x:v>
      </x:c>
      <x:c r="G68" s="9" t="str">
        <x:v>United States</x:v>
      </x:c>
      <x:c r="H68" s="7" t="n">
        <x:v>46283</x:v>
      </x:c>
      <x:c r="I68" s="9" t="str">
        <x:v>2026-09-18</x:v>
      </x:c>
      <x:c r="J68" s="9" t="str">
        <x:v>open</x:v>
      </x:c>
      <x:c r="K68" s="8" t="n">
        <x:v>0</x:v>
      </x:c>
      <x:c r="L68" s="8" t="n">
        <x:v>1</x:v>
      </x:c>
      <x:c r="M68" s="8" t="n">
        <x:v>0</x:v>
      </x:c>
      <x:c r="N68" s="9" t="str">
        <x:v>1 - official ATS</x:v>
      </x:c>
      <x:c r="O68" s="9" t="str">
        <x:v>Hands-on fluency with AI Film &amp; Photo production pipelines ... video generation models (e.g., Kling, Runway, Seedance-class tools)</x:v>
      </x:c>
      <x:c r="P68" s="9" t="str">
        <x:v>https://www.monks.com/careers/6185029004/job?gh_jid=6185029004</x:v>
      </x:c>
      <x:c r="Q68" s="9" t="str">
        <x:v>https://boards-api.greenhouse.io/v1/boards/monks/jobs/6185029004</x:v>
      </x:c>
      <x:c r="R68" s="9" t="str">
        <x:v>https://www.monks.com/careers/6185029004/job?gh_jid=6185029004</x:v>
      </x:c>
      <x:c r="S68" s="9" t="str">
        <x:v>Live public ATS read on 2026-10-06; publication date is ATS first_published, not update time.</x:v>
      </x:c>
      <x:c r="T68" s="9" t="str">
        <x:v>yes</x:v>
      </x:c>
      <x:c r="U68" s="9" t="str">
        <x:v>12785</x:v>
      </x:c>
    </x:row>
    <x:row r="69" ht="66" customHeight="1">
      <x:c r="A69" s="2" t="str">
        <x:v>J068</x:v>
      </x:c>
      <x:c r="B69" s="2" t="str">
        <x:v>A16</x:v>
      </x:c>
      <x:c r="C69" s="9" t="str">
        <x:v>Monks</x:v>
      </x:c>
      <x:c r="D69" s="2" t="str">
        <x:v>Агентства</x:v>
      </x:c>
      <x:c r="E69" s="9" t="str">
        <x:v>Monks</x:v>
      </x:c>
      <x:c r="F69" s="9" t="str">
        <x:v>Senior Animator &amp; Video Editor (Temp)</x:v>
      </x:c>
      <x:c r="G69" s="9" t="str">
        <x:v>Mexico City</x:v>
      </x:c>
      <x:c r="H69" s="7" t="n">
        <x:v>46275</x:v>
      </x:c>
      <x:c r="I69" s="9" t="str">
        <x:v>2026-09-10</x:v>
      </x:c>
      <x:c r="J69" s="9" t="str">
        <x:v>open</x:v>
      </x:c>
      <x:c r="K69" s="8" t="n">
        <x:v>0</x:v>
      </x:c>
      <x:c r="L69" s="8" t="n">
        <x:v>1</x:v>
      </x:c>
      <x:c r="M69" s="8" t="n">
        <x:v>1</x:v>
      </x:c>
      <x:c r="N69" s="9" t="str">
        <x:v>1 - official ATS</x:v>
      </x:c>
      <x:c r="O69" s="9" t="str">
        <x:v>Image &amp; Concept Generation: Midjourney, Adobe Firefly, Stable Diffusion, Comfy UI ... Video &amp; Motion AI: Runway, Google AI (Veo3, NanoBanana, Whisk)</x:v>
      </x:c>
      <x:c r="P69" s="9" t="str">
        <x:v>https://www.monks.com/careers/6188849004/job?gh_jid=6188849004</x:v>
      </x:c>
      <x:c r="Q69" s="9" t="str">
        <x:v>https://www.monks.com/careers/6216398004/job?gh_jid=6216398004 | https://boards-api.greenhouse.io/v1/boards/monks/jobs/6188849004</x:v>
      </x:c>
      <x:c r="R69" s="9" t="str">
        <x:v>https://www.monks.com/careers/6188849004/job?gh_jid=6188849004</x:v>
      </x:c>
      <x:c r="S69" s="9" t="str">
        <x:v>Live public ATS read on 2026-10-06; publication date is ATS first_published, not update time. Deduplicated posting IDs 6188849004, 6216398004 via shared internal job ID or near-identical repost.</x:v>
      </x:c>
      <x:c r="T69" s="9" t="str">
        <x:v>yes</x:v>
      </x:c>
      <x:c r="U69" s="9" t="str">
        <x:v>6188849004</x:v>
      </x:c>
    </x:row>
    <x:row r="70" ht="66" customHeight="1">
      <x:c r="A70" s="2" t="str">
        <x:v>J069</x:v>
      </x:c>
      <x:c r="B70" s="2" t="str">
        <x:v>A16</x:v>
      </x:c>
      <x:c r="C70" s="9" t="str">
        <x:v>Monks</x:v>
      </x:c>
      <x:c r="D70" s="2" t="str">
        <x:v>Агентства</x:v>
      </x:c>
      <x:c r="E70" s="9" t="str">
        <x:v>Monks</x:v>
      </x:c>
      <x:c r="F70" s="9" t="str">
        <x:v>Jr. Motion Designer</x:v>
      </x:c>
      <x:c r="G70" s="9" t="str">
        <x:v>Mexico City</x:v>
      </x:c>
      <x:c r="H70" s="7" t="n">
        <x:v>46274</x:v>
      </x:c>
      <x:c r="I70" s="9" t="str">
        <x:v>2026-09-09</x:v>
      </x:c>
      <x:c r="J70" s="9" t="str">
        <x:v>open</x:v>
      </x:c>
      <x:c r="K70" s="8" t="n">
        <x:v>0</x:v>
      </x:c>
      <x:c r="L70" s="8" t="n">
        <x:v>1</x:v>
      </x:c>
      <x:c r="M70" s="8" t="n">
        <x:v>0</x:v>
      </x:c>
      <x:c r="N70" s="9" t="str">
        <x:v>1 - official ATS</x:v>
      </x:c>
      <x:c r="O70" s="9" t="str">
        <x:v>Adobe Creative Suite (After Effects, Premiere Pro, Photoshop, Illustrator) ... Figma and AI tools (Runway, Nano Banana)</x:v>
      </x:c>
      <x:c r="P70" s="9" t="str">
        <x:v>https://www.monks.com/careers/6150551004/job?gh_jid=6150551004</x:v>
      </x:c>
      <x:c r="Q70" s="9" t="str">
        <x:v>https://boards-api.greenhouse.io/v1/boards/monks/jobs/6150551004</x:v>
      </x:c>
      <x:c r="R70" s="9" t="str">
        <x:v>https://www.monks.com/careers/6150551004/job?gh_jid=6150551004</x:v>
      </x:c>
      <x:c r="S70" s="9" t="str">
        <x:v>Live public ATS read on 2026-10-06; publication date is ATS first_published, not update time.</x:v>
      </x:c>
      <x:c r="T70" s="9" t="str">
        <x:v>yes</x:v>
      </x:c>
      <x:c r="U70" s="9" t="str">
        <x:v>12647</x:v>
      </x:c>
    </x:row>
    <x:row r="71" ht="66" customHeight="1">
      <x:c r="A71" s="2" t="str">
        <x:v>J070</x:v>
      </x:c>
      <x:c r="B71" s="2" t="str">
        <x:v>A16</x:v>
      </x:c>
      <x:c r="C71" s="9" t="str">
        <x:v>Monks</x:v>
      </x:c>
      <x:c r="D71" s="2" t="str">
        <x:v>Агентства</x:v>
      </x:c>
      <x:c r="E71" s="9" t="str">
        <x:v>Monks</x:v>
      </x:c>
      <x:c r="F71" s="9" t="str">
        <x:v>Senior Animator</x:v>
      </x:c>
      <x:c r="G71" s="9" t="str">
        <x:v>Buenos Aires</x:v>
      </x:c>
      <x:c r="H71" s="7" t="n">
        <x:v>46183</x:v>
      </x:c>
      <x:c r="I71" s="9" t="str">
        <x:v>2026-06-10</x:v>
      </x:c>
      <x:c r="J71" s="9" t="str">
        <x:v>open</x:v>
      </x:c>
      <x:c r="K71" s="8" t="n">
        <x:v>0</x:v>
      </x:c>
      <x:c r="L71" s="8" t="n">
        <x:v>1</x:v>
      </x:c>
      <x:c r="M71" s="8" t="n">
        <x:v>1</x:v>
      </x:c>
      <x:c r="N71" s="9" t="str">
        <x:v>1 - official ATS</x:v>
      </x:c>
      <x:c r="O71" s="9" t="str">
        <x:v>Hands-on experience with generative AI tools — Runway, MidJourney, Adobe Firefly, Whisk, or similar</x:v>
      </x:c>
      <x:c r="P71" s="9" t="str">
        <x:v>https://www.monks.com/careers/5979335004/job?gh_jid=5979335004</x:v>
      </x:c>
      <x:c r="Q71" s="9" t="str">
        <x:v>https://boards-api.greenhouse.io/v1/boards/monks/jobs/5979335004</x:v>
      </x:c>
      <x:c r="R71" s="9" t="str">
        <x:v>https://www.monks.com/careers/5979335004/job?gh_jid=5979335004</x:v>
      </x:c>
      <x:c r="S71" s="9" t="str">
        <x:v>Live public ATS read on 2026-10-06; publication date is ATS first_published, not update time.</x:v>
      </x:c>
      <x:c r="T71" s="9" t="str">
        <x:v>yes</x:v>
      </x:c>
      <x:c r="U71" s="9" t="str">
        <x:v>11806</x:v>
      </x:c>
    </x:row>
    <x:row r="72" ht="66" customHeight="1">
      <x:c r="A72" s="2" t="str">
        <x:v>J071</x:v>
      </x:c>
      <x:c r="B72" s="2" t="str">
        <x:v>A16</x:v>
      </x:c>
      <x:c r="C72" s="9" t="str">
        <x:v>Monks</x:v>
      </x:c>
      <x:c r="D72" s="2" t="str">
        <x:v>Агентства</x:v>
      </x:c>
      <x:c r="E72" s="9" t="str">
        <x:v>Monks</x:v>
      </x:c>
      <x:c r="F72" s="9" t="str">
        <x:v>Senior Art Director</x:v>
      </x:c>
      <x:c r="G72" s="9" t="str">
        <x:v>Kuala Lumpur</x:v>
      </x:c>
      <x:c r="H72" s="7" t="n">
        <x:v>46121</x:v>
      </x:c>
      <x:c r="I72" s="9" t="str">
        <x:v>2026-04-09</x:v>
      </x:c>
      <x:c r="J72" s="9" t="str">
        <x:v>open</x:v>
      </x:c>
      <x:c r="K72" s="8" t="n">
        <x:v>0</x:v>
      </x:c>
      <x:c r="L72" s="8" t="n">
        <x:v>1</x:v>
      </x:c>
      <x:c r="M72" s="8" t="n">
        <x:v>1</x:v>
      </x:c>
      <x:c r="N72" s="9" t="str">
        <x:v>1 - official ATS</x:v>
      </x:c>
      <x:c r="O72" s="9" t="str">
        <x:v>AI-powered creative tools and emerging technologies such as GPT-5, Midjourney, Firefly, Runway, Veo, Figma AI, Google Gemini Ecosystem, etc.</x:v>
      </x:c>
      <x:c r="P72" s="9" t="str">
        <x:v>https://www.monks.com/careers/5832856004/job?gh_jid=5832856004</x:v>
      </x:c>
      <x:c r="Q72" s="9" t="str">
        <x:v>https://boards-api.greenhouse.io/v1/boards/monks/jobs/5832856004</x:v>
      </x:c>
      <x:c r="R72" s="9" t="str">
        <x:v>https://www.monks.com/careers/5832856004/job?gh_jid=5832856004</x:v>
      </x:c>
      <x:c r="S72" s="9" t="str">
        <x:v>Live public ATS read on 2026-10-06; publication date is ATS first_published, not update time.</x:v>
      </x:c>
      <x:c r="T72" s="9" t="str">
        <x:v>yes</x:v>
      </x:c>
      <x:c r="U72" s="9" t="str">
        <x:v>11472</x:v>
      </x:c>
    </x:row>
    <x:row r="73" ht="66" customHeight="1">
      <x:c r="A73" s="2" t="str">
        <x:v>J072</x:v>
      </x:c>
      <x:c r="B73" s="2" t="str">
        <x:v>A16</x:v>
      </x:c>
      <x:c r="C73" s="9" t="str">
        <x:v>Monks</x:v>
      </x:c>
      <x:c r="D73" s="2" t="str">
        <x:v>Агентства</x:v>
      </x:c>
      <x:c r="E73" s="9" t="str">
        <x:v>Monks</x:v>
      </x:c>
      <x:c r="F73" s="9" t="str">
        <x:v>Senior Caster</x:v>
      </x:c>
      <x:c r="G73" s="9" t="str">
        <x:v>Buenos Aires</x:v>
      </x:c>
      <x:c r="H73" s="7" t="n">
        <x:v>46297</x:v>
      </x:c>
      <x:c r="I73" s="9" t="str">
        <x:v>2026-10-02</x:v>
      </x:c>
      <x:c r="J73" s="9" t="str">
        <x:v>open</x:v>
      </x:c>
      <x:c r="K73" s="8" t="n">
        <x:v>0</x:v>
      </x:c>
      <x:c r="L73" s="8" t="n">
        <x:v>0</x:v>
      </x:c>
      <x:c r="M73" s="8" t="n">
        <x:v>1</x:v>
      </x:c>
      <x:c r="N73" s="9" t="str">
        <x:v>1 - official ATS</x:v>
      </x:c>
      <x:c r="O73" s="9" t="str">
        <x:v>Familiarity with AI-assisted creative workflows (e.g., prompt crafting, Midjourney, Firefly, ChatGPT/Claude copy augmentation)</x:v>
      </x:c>
      <x:c r="P73" s="9" t="str">
        <x:v>https://www.monks.com/careers/6198943004/job?gh_jid=6198943004</x:v>
      </x:c>
      <x:c r="Q73" s="9" t="str">
        <x:v>https://boards-api.greenhouse.io/v1/boards/monks/jobs/6198943004</x:v>
      </x:c>
      <x:c r="R73" s="9" t="str">
        <x:v>https://www.monks.com/careers/6198943004/job?gh_jid=6198943004</x:v>
      </x:c>
      <x:c r="S73" s="9" t="str">
        <x:v>Live public ATS read on 2026-10-06; publication date is ATS first_published, not update time.</x:v>
      </x:c>
      <x:c r="T73" s="9" t="str">
        <x:v>yes</x:v>
      </x:c>
      <x:c r="U73" s="9" t="str">
        <x:v>12860</x:v>
      </x:c>
    </x:row>
    <x:row r="74" ht="66" customHeight="1">
      <x:c r="A74" s="2" t="str">
        <x:v>J073</x:v>
      </x:c>
      <x:c r="B74" s="2" t="str">
        <x:v>A16</x:v>
      </x:c>
      <x:c r="C74" s="9" t="str">
        <x:v>Monks</x:v>
      </x:c>
      <x:c r="D74" s="2" t="str">
        <x:v>Агентства</x:v>
      </x:c>
      <x:c r="E74" s="9" t="str">
        <x:v>Monks</x:v>
      </x:c>
      <x:c r="F74" s="9" t="str">
        <x:v>Senior VFX Compositor</x:v>
      </x:c>
      <x:c r="G74" s="9" t="str">
        <x:v>Buenos Aires</x:v>
      </x:c>
      <x:c r="H74" s="7" t="n">
        <x:v>46262</x:v>
      </x:c>
      <x:c r="I74" s="9" t="str">
        <x:v>2026-08-28</x:v>
      </x:c>
      <x:c r="J74" s="9" t="str">
        <x:v>open</x:v>
      </x:c>
      <x:c r="K74" s="8" t="n">
        <x:v>0</x:v>
      </x:c>
      <x:c r="L74" s="8" t="n">
        <x:v>1</x:v>
      </x:c>
      <x:c r="M74" s="8" t="n">
        <x:v>0</x:v>
      </x:c>
      <x:c r="N74" s="9" t="str">
        <x:v>1 - official ATS</x:v>
      </x:c>
      <x:c r="O74" s="9" t="str">
        <x:v>Integrate generative AI video and image models (e.g., Runway) into compositing pipelines to optimize delivery and fix hallucinations.</x:v>
      </x:c>
      <x:c r="P74" s="9" t="str">
        <x:v>https://www.monks.com/careers/6130310004/job?gh_jid=6130310004</x:v>
      </x:c>
      <x:c r="Q74" s="9" t="str">
        <x:v>https://boards-api.greenhouse.io/v1/boards/monks/jobs/6130310004</x:v>
      </x:c>
      <x:c r="R74" s="9" t="str">
        <x:v>https://www.monks.com/careers/6130310004/job?gh_jid=6130310004</x:v>
      </x:c>
      <x:c r="S74" s="9" t="str">
        <x:v>Live public ATS read on 2026-10-06; publication date is ATS first_published, not update time.</x:v>
      </x:c>
      <x:c r="T74" s="9" t="str">
        <x:v>yes</x:v>
      </x:c>
      <x:c r="U74" s="9" t="str">
        <x:v>12483</x:v>
      </x:c>
    </x:row>
    <x:row r="75" ht="66" customHeight="1">
      <x:c r="A75" s="2" t="str">
        <x:v>J074</x:v>
      </x:c>
      <x:c r="B75" s="2" t="str">
        <x:v>A16</x:v>
      </x:c>
      <x:c r="C75" s="9" t="str">
        <x:v>Monks</x:v>
      </x:c>
      <x:c r="D75" s="2" t="str">
        <x:v>Агентства</x:v>
      </x:c>
      <x:c r="E75" s="9" t="str">
        <x:v>Monks</x:v>
      </x:c>
      <x:c r="F75" s="9" t="str">
        <x:v>Senior Video Editor (Temporary)</x:v>
      </x:c>
      <x:c r="G75" s="9" t="str">
        <x:v>Buenos Aires</x:v>
      </x:c>
      <x:c r="H75" s="7" t="n">
        <x:v>46289</x:v>
      </x:c>
      <x:c r="I75" s="9" t="str">
        <x:v>2026-09-24</x:v>
      </x:c>
      <x:c r="J75" s="9" t="str">
        <x:v>open</x:v>
      </x:c>
      <x:c r="K75" s="8" t="n">
        <x:v>0</x:v>
      </x:c>
      <x:c r="L75" s="8" t="n">
        <x:v>1</x:v>
      </x:c>
      <x:c r="M75" s="8" t="n">
        <x:v>0</x:v>
      </x:c>
      <x:c r="N75" s="9" t="str">
        <x:v>1 - official ATS</x:v>
      </x:c>
      <x:c r="O75" s="9" t="str">
        <x:v>integrating AI video tools into your workflow ... (e.g., Runway, Luma Dream Machine, Sora, Pika, Topaz Video AI)</x:v>
      </x:c>
      <x:c r="P75" s="9" t="str">
        <x:v>https://www.monks.com/careers/6200346004/job?gh_jid=6200346004</x:v>
      </x:c>
      <x:c r="Q75" s="9" t="str">
        <x:v>https://boards-api.greenhouse.io/v1/boards/monks/jobs/6200346004</x:v>
      </x:c>
      <x:c r="R75" s="9" t="str">
        <x:v>https://www.monks.com/careers/6200346004/job?gh_jid=6200346004</x:v>
      </x:c>
      <x:c r="S75" s="9" t="str">
        <x:v>Live public ATS read on 2026-10-06; publication date is ATS first_published, not update time.</x:v>
      </x:c>
      <x:c r="T75" s="9" t="str">
        <x:v>yes</x:v>
      </x:c>
      <x:c r="U75" s="9" t="str">
        <x:v>12851</x:v>
      </x:c>
    </x:row>
    <x:row r="76" ht="66" customHeight="1">
      <x:c r="A76" s="2" t="str">
        <x:v>J075</x:v>
      </x:c>
      <x:c r="B76" s="2" t="str">
        <x:v>A18</x:v>
      </x:c>
      <x:c r="C76" s="9" t="str">
        <x:v>R/GA</x:v>
      </x:c>
      <x:c r="D76" s="2" t="str">
        <x:v>Агентства</x:v>
      </x:c>
      <x:c r="E76" s="9" t="str">
        <x:v>R/GA</x:v>
      </x:c>
      <x:c r="F76" s="9" t="str">
        <x:v>Senior Experience Designer</x:v>
      </x:c>
      <x:c r="G76" s="9" t="str">
        <x:v>London</x:v>
      </x:c>
      <x:c r="H76" s="7" t="n">
        <x:v>45974</x:v>
      </x:c>
      <x:c r="I76" s="9" t="str">
        <x:v>2025-11-13</x:v>
      </x:c>
      <x:c r="J76" s="9" t="str">
        <x:v>open</x:v>
      </x:c>
      <x:c r="K76" s="8" t="n">
        <x:v>0</x:v>
      </x:c>
      <x:c r="L76" s="8" t="n">
        <x:v>1</x:v>
      </x:c>
      <x:c r="M76" s="8" t="n">
        <x:v>0</x:v>
      </x:c>
      <x:c r="N76" s="9" t="str">
        <x:v>1 - official ATS</x:v>
      </x:c>
      <x:c r="O76" s="9" t="str">
        <x:v>Hands-on experience with AI tools such as ChatGPT, Midjourney, Runway, ElevenLabs, GitHub Copilot, or your own custom stack</x:v>
      </x:c>
      <x:c r="P76" s="9" t="str">
        <x:v>https://www.rga.com/careers/7385713?gh_jid=7385713</x:v>
      </x:c>
      <x:c r="Q76" s="9" t="str">
        <x:v>https://boards-api.greenhouse.io/v1/boards/rga/jobs/7385713</x:v>
      </x:c>
      <x:c r="R76" s="9" t="str">
        <x:v>https://www.rga.com/careers/7385713?gh_jid=7385713</x:v>
      </x:c>
      <x:c r="S76" s="9" t="str">
        <x:v>Live public ATS read on 2026-10-06; publication date is ATS first_published, not update time.</x:v>
      </x:c>
      <x:c r="T76" s="9" t="str">
        <x:v>yes</x:v>
      </x:c>
      <x:c r="U76" s="9" t="str">
        <x:v>7385713</x:v>
      </x:c>
    </x:row>
    <x:row r="77" ht="66" customHeight="1">
      <x:c r="A77" s="2" t="str">
        <x:v>J076</x:v>
      </x:c>
      <x:c r="B77" s="2" t="str">
        <x:v>A17</x:v>
      </x:c>
      <x:c r="C77" s="9" t="str">
        <x:v>OLIVER / OLIVER+ / Brandtech Plus</x:v>
      </x:c>
      <x:c r="D77" s="2" t="str">
        <x:v>Агентства</x:v>
      </x:c>
      <x:c r="E77" s="9" t="str">
        <x:v>OLIVER</x:v>
      </x:c>
      <x:c r="F77" s="9" t="str">
        <x:v>Design Director</x:v>
      </x:c>
      <x:c r="G77" s="9" t="str">
        <x:v>San Francisco, California; Denver, Colorado; Houston, Texas</x:v>
      </x:c>
      <x:c r="H77" s="7" t="n">
        <x:v>46262</x:v>
      </x:c>
      <x:c r="I77" s="9" t="str">
        <x:v>2026-08-28</x:v>
      </x:c>
      <x:c r="J77" s="9" t="str">
        <x:v>open</x:v>
      </x:c>
      <x:c r="K77" s="8" t="n">
        <x:v>0</x:v>
      </x:c>
      <x:c r="L77" s="8" t="n">
        <x:v>0</x:v>
      </x:c>
      <x:c r="M77" s="8" t="n">
        <x:v>1</x:v>
      </x:c>
      <x:c r="N77" s="9" t="str">
        <x:v>1 - official ATS</x:v>
      </x:c>
      <x:c r="O77" s="9" t="str">
        <x:v>Advanced proficiency with generative AI tools — including Midjourney, Adobe Firefly, or equivalent — and experience building AI-assisted workflows within a creative team</x:v>
      </x:c>
      <x:c r="P77" s="9" t="str">
        <x:v>https://job-boards.greenhouse.io/oliverusa/jobs/8157110</x:v>
      </x:c>
      <x:c r="Q77" s="9" t="str">
        <x:v>https://job-boards.greenhouse.io/oliverusa/jobs/8164413; https://job-boards.greenhouse.io/oliverusa/jobs/8164415 | https://boards-api.greenhouse.io/v1/boards/oliverusa/jobs/8157110</x:v>
      </x:c>
      <x:c r="R77" s="9" t="str">
        <x:v>https://job-boards.greenhouse.io/oliverusa/jobs/8157110</x:v>
      </x:c>
      <x:c r="S77" s="9" t="str">
        <x:v>Live public ATS read on 2026-10-06; publication date is ATS first_published, not update time. Deduplicated posting IDs 8157110, 8164413, 8164415 via shared internal job ID or near-identical repost.</x:v>
      </x:c>
      <x:c r="T77" s="9" t="str">
        <x:v>yes</x:v>
      </x:c>
      <x:c r="U77" s="9" t="str">
        <x:v>18612</x:v>
      </x:c>
    </x:row>
    <x:row r="78" ht="66" customHeight="1">
      <x:c r="A78" s="2" t="str">
        <x:v>J077</x:v>
      </x:c>
      <x:c r="B78" s="2" t="str">
        <x:v>A17</x:v>
      </x:c>
      <x:c r="C78" s="9" t="str">
        <x:v>OLIVER / OLIVER+ / Brandtech Plus</x:v>
      </x:c>
      <x:c r="D78" s="2" t="str">
        <x:v>Агентства</x:v>
      </x:c>
      <x:c r="E78" s="9" t="str">
        <x:v>OLIVER</x:v>
      </x:c>
      <x:c r="F78" s="9" t="str">
        <x:v>Designer</x:v>
      </x:c>
      <x:c r="G78" s="9" t="str">
        <x:v>Philadelphia, Pennsylvania</x:v>
      </x:c>
      <x:c r="H78" s="7" t="n">
        <x:v>46262</x:v>
      </x:c>
      <x:c r="I78" s="9" t="str">
        <x:v>2026-08-28</x:v>
      </x:c>
      <x:c r="J78" s="9" t="str">
        <x:v>open</x:v>
      </x:c>
      <x:c r="K78" s="8" t="n">
        <x:v>0</x:v>
      </x:c>
      <x:c r="L78" s="8" t="n">
        <x:v>0</x:v>
      </x:c>
      <x:c r="M78" s="8" t="n">
        <x:v>1</x:v>
      </x:c>
      <x:c r="N78" s="9" t="str">
        <x:v>1 - official ATS</x:v>
      </x:c>
      <x:c r="O78" s="9" t="str">
        <x:v>Advanced use of Gen AI design tools — including Midjourney, DALL-E, Adobe Firefly, and Figma AI — to enhance ideation, iteration, and asset creation</x:v>
      </x:c>
      <x:c r="P78" s="9" t="str">
        <x:v>https://job-boards.greenhouse.io/oliverusa/jobs/8139703</x:v>
      </x:c>
      <x:c r="Q78" s="9" t="str">
        <x:v>https://boards-api.greenhouse.io/v1/boards/oliverusa/jobs/8139703</x:v>
      </x:c>
      <x:c r="R78" s="9" t="str">
        <x:v>https://job-boards.greenhouse.io/oliverusa/jobs/8139703</x:v>
      </x:c>
      <x:c r="S78" s="9" t="str">
        <x:v>Live public ATS read on 2026-10-06; publication date is ATS first_published, not update time.</x:v>
      </x:c>
      <x:c r="T78" s="9" t="str">
        <x:v>yes</x:v>
      </x:c>
      <x:c r="U78" s="9" t="str">
        <x:v>18561</x:v>
      </x:c>
    </x:row>
    <x:row r="79" ht="66" customHeight="1">
      <x:c r="A79" s="2" t="str">
        <x:v>J078</x:v>
      </x:c>
      <x:c r="B79" s="2" t="str">
        <x:v>A17</x:v>
      </x:c>
      <x:c r="C79" s="9" t="str">
        <x:v>OLIVER / OLIVER+ / Brandtech Plus</x:v>
      </x:c>
      <x:c r="D79" s="2" t="str">
        <x:v>Агентства</x:v>
      </x:c>
      <x:c r="E79" s="9" t="str">
        <x:v>Brandtech+</x:v>
      </x:c>
      <x:c r="F79" s="9" t="str">
        <x:v>GenAI Senior Integrated Designer</x:v>
      </x:c>
      <x:c r="G79" s="9" t="str">
        <x:v>Mumbai, India</x:v>
      </x:c>
      <x:c r="H79" s="7" t="n">
        <x:v>46290</x:v>
      </x:c>
      <x:c r="I79" s="9" t="str">
        <x:v>2026-09-25</x:v>
      </x:c>
      <x:c r="J79" s="9" t="str">
        <x:v>open</x:v>
      </x:c>
      <x:c r="K79" s="8" t="n">
        <x:v>0</x:v>
      </x:c>
      <x:c r="L79" s="8" t="n">
        <x:v>0</x:v>
      </x:c>
      <x:c r="M79" s="8" t="n">
        <x:v>1</x:v>
      </x:c>
      <x:c r="N79" s="9" t="str">
        <x:v>1 - official ATS</x:v>
      </x:c>
      <x:c r="O79" s="9" t="str">
        <x:v>Working knowledge of GenAI tools such as ChatGPT, Midjourney, Adobe Firefly, Veo3</x:v>
      </x:c>
      <x:c r="P79" s="9" t="str">
        <x:v>https://job-boards.greenhouse.io/brandtechplus/jobs/8225764</x:v>
      </x:c>
      <x:c r="Q79" s="9" t="str">
        <x:v>https://boards-api.greenhouse.io/v1/boards/brandtechplus/jobs/8225764</x:v>
      </x:c>
      <x:c r="R79" s="9" t="str">
        <x:v>https://job-boards.greenhouse.io/brandtechplus/jobs/8225764</x:v>
      </x:c>
      <x:c r="S79" s="9" t="str">
        <x:v>Live public ATS read on 2026-10-06; publication date is ATS first_published, not update time.</x:v>
      </x:c>
      <x:c r="T79" s="9" t="str">
        <x:v>yes</x:v>
      </x:c>
      <x:c r="U79" s="9" t="str">
        <x:v>18800</x:v>
      </x:c>
    </x:row>
    <x:row r="80" ht="66" customHeight="1">
      <x:c r="A80" s="2" t="str">
        <x:v>J079</x:v>
      </x:c>
      <x:c r="B80" s="2" t="str">
        <x:v>A17</x:v>
      </x:c>
      <x:c r="C80" s="9" t="str">
        <x:v>OLIVER / OLIVER+ / Brandtech Plus</x:v>
      </x:c>
      <x:c r="D80" s="2" t="str">
        <x:v>Агентства</x:v>
      </x:c>
      <x:c r="E80" s="9" t="str">
        <x:v>Brandtech+</x:v>
      </x:c>
      <x:c r="F80" s="9" t="str">
        <x:v>GenAI Senior Integrated Designer (Motion Exp)</x:v>
      </x:c>
      <x:c r="G80" s="9" t="str">
        <x:v>Mumbai, India; Johannesburg, South Africa</x:v>
      </x:c>
      <x:c r="H80" s="7" t="n">
        <x:v>46148</x:v>
      </x:c>
      <x:c r="I80" s="9" t="str">
        <x:v>2026-05-06</x:v>
      </x:c>
      <x:c r="J80" s="9" t="str">
        <x:v>open</x:v>
      </x:c>
      <x:c r="K80" s="8" t="n">
        <x:v>0</x:v>
      </x:c>
      <x:c r="L80" s="8" t="n">
        <x:v>0</x:v>
      </x:c>
      <x:c r="M80" s="8" t="n">
        <x:v>1</x:v>
      </x:c>
      <x:c r="N80" s="9" t="str">
        <x:v>1 - official ATS</x:v>
      </x:c>
      <x:c r="O80" s="9" t="str">
        <x:v>Working knowledge of GenAI tools such as ChatGPT, Midjourney, Adobe Firefly, Veo3</x:v>
      </x:c>
      <x:c r="P80" s="9" t="str">
        <x:v>https://job-boards.greenhouse.io/brandtechplus/jobs/7846658</x:v>
      </x:c>
      <x:c r="Q80" s="9" t="str">
        <x:v>https://job-boards.greenhouse.io/brandtechplus/jobs/8239461 | https://boards-api.greenhouse.io/v1/boards/brandtechplus/jobs/7846658</x:v>
      </x:c>
      <x:c r="R80" s="9" t="str">
        <x:v>https://job-boards.greenhouse.io/brandtechplus/jobs/7846658</x:v>
      </x:c>
      <x:c r="S80" s="9" t="str">
        <x:v>Live public ATS read on 2026-10-06; publication date is ATS first_published, not update time. Deduplicated posting IDs 7846658, 8239461 via shared internal job ID or near-identical repost.</x:v>
      </x:c>
      <x:c r="T80" s="9" t="str">
        <x:v>yes</x:v>
      </x:c>
      <x:c r="U80" s="9" t="str">
        <x:v>17374</x:v>
      </x:c>
    </x:row>
    <x:row r="81" ht="66" customHeight="1">
      <x:c r="A81" s="2" t="str">
        <x:v>J080</x:v>
      </x:c>
      <x:c r="B81" s="2" t="str">
        <x:v>A17</x:v>
      </x:c>
      <x:c r="C81" s="9" t="str">
        <x:v>OLIVER / OLIVER+ / Brandtech Plus</x:v>
      </x:c>
      <x:c r="D81" s="2" t="str">
        <x:v>Агентства</x:v>
      </x:c>
      <x:c r="E81" s="9" t="str">
        <x:v>Brandtech+</x:v>
      </x:c>
      <x:c r="F81" s="9" t="str">
        <x:v>GenAI Senior  Integrated Designer (Motion Exp)</x:v>
      </x:c>
      <x:c r="G81" s="9" t="str">
        <x:v>Mexico City, Mexico; Bogotá, Colombia</x:v>
      </x:c>
      <x:c r="H81" s="7" t="n">
        <x:v>46168</x:v>
      </x:c>
      <x:c r="I81" s="9" t="str">
        <x:v>2026-05-26</x:v>
      </x:c>
      <x:c r="J81" s="9" t="str">
        <x:v>open</x:v>
      </x:c>
      <x:c r="K81" s="8" t="n">
        <x:v>0</x:v>
      </x:c>
      <x:c r="L81" s="8" t="n">
        <x:v>0</x:v>
      </x:c>
      <x:c r="M81" s="8" t="n">
        <x:v>1</x:v>
      </x:c>
      <x:c r="N81" s="9" t="str">
        <x:v>1 - official ATS</x:v>
      </x:c>
      <x:c r="O81" s="9" t="str">
        <x:v>Working knowledge of GenAI tools such as ChatGPT, Midjourney, Adobe Firefly, Veo3</x:v>
      </x:c>
      <x:c r="P81" s="9" t="str">
        <x:v>https://job-boards.greenhouse.io/brandtechplus/jobs/7959046</x:v>
      </x:c>
      <x:c r="Q81" s="9" t="str">
        <x:v>https://job-boards.greenhouse.io/brandtechplus/jobs/7959042 | https://boards-api.greenhouse.io/v1/boards/brandtechplus/jobs/7959046</x:v>
      </x:c>
      <x:c r="R81" s="9" t="str">
        <x:v>https://job-boards.greenhouse.io/brandtechplus/jobs/7959046</x:v>
      </x:c>
      <x:c r="S81" s="9" t="str">
        <x:v>Live public ATS read on 2026-10-06; publication date is ATS first_published, not update time. Deduplicated posting IDs 7959046, 7959042 via shared internal job ID or near-identical repost.</x:v>
      </x:c>
      <x:c r="T81" s="9" t="str">
        <x:v>yes</x:v>
      </x:c>
      <x:c r="U81" s="9" t="str">
        <x:v>17376</x:v>
      </x:c>
    </x:row>
    <x:row r="82" ht="66" customHeight="1">
      <x:c r="A82" s="2" t="str">
        <x:v>J081</x:v>
      </x:c>
      <x:c r="B82" s="2" t="str">
        <x:v>A17</x:v>
      </x:c>
      <x:c r="C82" s="9" t="str">
        <x:v>OLIVER / OLIVER+ / Brandtech Plus</x:v>
      </x:c>
      <x:c r="D82" s="2" t="str">
        <x:v>Агентства</x:v>
      </x:c>
      <x:c r="E82" s="9" t="str">
        <x:v>OLIVER</x:v>
      </x:c>
      <x:c r="F82" s="9" t="str">
        <x:v>Content Creator</x:v>
      </x:c>
      <x:c r="G82" s="9" t="str">
        <x:v>Mexico City, Mexico</x:v>
      </x:c>
      <x:c r="H82" s="7" t="n">
        <x:v>46113</x:v>
      </x:c>
      <x:c r="I82" s="9" t="str">
        <x:v>2026-04-01</x:v>
      </x:c>
      <x:c r="J82" s="9" t="str">
        <x:v>open</x:v>
      </x:c>
      <x:c r="K82" s="8" t="n">
        <x:v>0</x:v>
      </x:c>
      <x:c r="L82" s="8" t="n">
        <x:v>0</x:v>
      </x:c>
      <x:c r="M82" s="8" t="n">
        <x:v>1</x:v>
      </x:c>
      <x:c r="N82" s="9" t="str">
        <x:v>1 - official ATS</x:v>
      </x:c>
      <x:c r="O82" s="9" t="str">
        <x:v>Basic proficiency with Gen AI tools (such as ChatGPT, Midjourney, Adobe Firefly, DALL-E) to support ideation, mood boarding, visual exploration, and content iteration</x:v>
      </x:c>
      <x:c r="P82" s="9" t="str">
        <x:v>https://job-boards.greenhouse.io/olivermexico/jobs/7748548</x:v>
      </x:c>
      <x:c r="Q82" s="9" t="str">
        <x:v>https://boards-api.greenhouse.io/v1/boards/olivermexico/jobs/7748548</x:v>
      </x:c>
      <x:c r="R82" s="9" t="str">
        <x:v>https://job-boards.greenhouse.io/olivermexico/jobs/7748548</x:v>
      </x:c>
      <x:c r="S82" s="9" t="str">
        <x:v>Live public ATS read on 2026-10-06; publication date is ATS first_published, not update time.</x:v>
      </x:c>
      <x:c r="T82" s="9" t="str">
        <x:v>yes</x:v>
      </x:c>
      <x:c r="U82" s="9" t="str">
        <x:v>16988</x:v>
      </x:c>
    </x:row>
    <x:row r="83" ht="66" customHeight="1">
      <x:c r="A83" s="2" t="str">
        <x:v>J082</x:v>
      </x:c>
      <x:c r="B83" s="2" t="str">
        <x:v>A17</x:v>
      </x:c>
      <x:c r="C83" s="9" t="str">
        <x:v>OLIVER / OLIVER+ / Brandtech Plus</x:v>
      </x:c>
      <x:c r="D83" s="2" t="str">
        <x:v>Агентства</x:v>
      </x:c>
      <x:c r="E83" s="9" t="str">
        <x:v>OLIVER</x:v>
      </x:c>
      <x:c r="F83" s="9" t="str">
        <x:v>Content Creator (Mid-level)</x:v>
      </x:c>
      <x:c r="G83" s="9" t="str">
        <x:v>Mexico City, Mexico</x:v>
      </x:c>
      <x:c r="H83" s="7" t="n">
        <x:v>46252</x:v>
      </x:c>
      <x:c r="I83" s="9" t="str">
        <x:v>2026-08-18</x:v>
      </x:c>
      <x:c r="J83" s="9" t="str">
        <x:v>open</x:v>
      </x:c>
      <x:c r="K83" s="8" t="n">
        <x:v>0</x:v>
      </x:c>
      <x:c r="L83" s="8" t="n">
        <x:v>0</x:v>
      </x:c>
      <x:c r="M83" s="8" t="n">
        <x:v>1</x:v>
      </x:c>
      <x:c r="N83" s="9" t="str">
        <x:v>1 - official ATS</x:v>
      </x:c>
      <x:c r="O83" s="9" t="str">
        <x:v>Basic proficiency with Gen AI tools (such as ChatGPT, Midjourney, Adobe Firefly, or DALL-E) to support ideation</x:v>
      </x:c>
      <x:c r="P83" s="9" t="str">
        <x:v>https://job-boards.greenhouse.io/olivermexico/jobs/8105006</x:v>
      </x:c>
      <x:c r="Q83" s="9" t="str">
        <x:v>https://boards-api.greenhouse.io/v1/boards/olivermexico/jobs/8105006</x:v>
      </x:c>
      <x:c r="R83" s="9" t="str">
        <x:v>https://job-boards.greenhouse.io/olivermexico/jobs/8105006</x:v>
      </x:c>
      <x:c r="S83" s="9" t="str">
        <x:v>Live public ATS read on 2026-10-06; publication date is ATS first_published, not update time.</x:v>
      </x:c>
      <x:c r="T83" s="9" t="str">
        <x:v>yes</x:v>
      </x:c>
      <x:c r="U83" s="9" t="str">
        <x:v>18439</x:v>
      </x:c>
    </x:row>
    <x:row r="84" ht="66" customHeight="1">
      <x:c r="A84" s="2" t="str">
        <x:v>J083</x:v>
      </x:c>
      <x:c r="B84" s="2" t="str">
        <x:v>A17</x:v>
      </x:c>
      <x:c r="C84" s="9" t="str">
        <x:v>OLIVER / OLIVER+ / Brandtech Plus</x:v>
      </x:c>
      <x:c r="D84" s="2" t="str">
        <x:v>Агентства</x:v>
      </x:c>
      <x:c r="E84" s="9" t="str">
        <x:v>OLIVER</x:v>
      </x:c>
      <x:c r="F84" s="9" t="str">
        <x:v>Project Manager | DIGITAL MARKETING</x:v>
      </x:c>
      <x:c r="G84" s="9" t="str">
        <x:v>Mexico City, Mexico</x:v>
      </x:c>
      <x:c r="H84" s="7" t="n">
        <x:v>46113</x:v>
      </x:c>
      <x:c r="I84" s="9" t="str">
        <x:v>2026-04-01</x:v>
      </x:c>
      <x:c r="J84" s="9" t="str">
        <x:v>open</x:v>
      </x:c>
      <x:c r="K84" s="8" t="n">
        <x:v>0</x:v>
      </x:c>
      <x:c r="L84" s="8" t="n">
        <x:v>0</x:v>
      </x:c>
      <x:c r="M84" s="8" t="n">
        <x:v>1</x:v>
      </x:c>
      <x:c r="N84" s="9" t="str">
        <x:v>1 - official ATS</x:v>
      </x:c>
      <x:c r="O84" s="9" t="str">
        <x:v>Working knowledge of Gen AI tools (such as ChatGPT, Claude, Midjourney, Adobe Firefly) and how they integrate into social content production workflows</x:v>
      </x:c>
      <x:c r="P84" s="9" t="str">
        <x:v>https://job-boards.greenhouse.io/olivermexico/jobs/7748574</x:v>
      </x:c>
      <x:c r="Q84" s="9" t="str">
        <x:v>https://boards-api.greenhouse.io/v1/boards/olivermexico/jobs/7748574</x:v>
      </x:c>
      <x:c r="R84" s="9" t="str">
        <x:v>https://job-boards.greenhouse.io/olivermexico/jobs/7748574</x:v>
      </x:c>
      <x:c r="S84" s="9" t="str">
        <x:v>Live public ATS read on 2026-10-06; publication date is ATS first_published, not update time.</x:v>
      </x:c>
      <x:c r="T84" s="9" t="str">
        <x:v>yes</x:v>
      </x:c>
      <x:c r="U84" s="9" t="str">
        <x:v>16993</x:v>
      </x:c>
    </x:row>
    <x:row r="85" ht="66" customHeight="1">
      <x:c r="A85" s="2" t="str">
        <x:v>J084</x:v>
      </x:c>
      <x:c r="B85" s="2" t="str">
        <x:v>A17</x:v>
      </x:c>
      <x:c r="C85" s="9" t="str">
        <x:v>OLIVER / OLIVER+ / Brandtech Plus</x:v>
      </x:c>
      <x:c r="D85" s="2" t="str">
        <x:v>Агентства</x:v>
      </x:c>
      <x:c r="E85" s="9" t="str">
        <x:v>OLIVER</x:v>
      </x:c>
      <x:c r="F85" s="9" t="str">
        <x:v>Senior Designer</x:v>
      </x:c>
      <x:c r="G85" s="9" t="str">
        <x:v>Mexico City, Mexico</x:v>
      </x:c>
      <x:c r="H85" s="7" t="n">
        <x:v>46113</x:v>
      </x:c>
      <x:c r="I85" s="9" t="str">
        <x:v>2026-04-01</x:v>
      </x:c>
      <x:c r="J85" s="9" t="str">
        <x:v>open</x:v>
      </x:c>
      <x:c r="K85" s="8" t="n">
        <x:v>0</x:v>
      </x:c>
      <x:c r="L85" s="8" t="n">
        <x:v>1</x:v>
      </x:c>
      <x:c r="M85" s="8" t="n">
        <x:v>1</x:v>
      </x:c>
      <x:c r="N85" s="9" t="str">
        <x:v>1 - official ATS</x:v>
      </x:c>
      <x:c r="O85" s="9" t="str">
        <x:v>Proficiency with Gen AI design tools (such as Midjourney, Adobe Firefly, DALL-E, Runway) and their strategic application in social content creation</x:v>
      </x:c>
      <x:c r="P85" s="9" t="str">
        <x:v>https://job-boards.greenhouse.io/olivermexico/jobs/7748563</x:v>
      </x:c>
      <x:c r="Q85" s="9" t="str">
        <x:v>https://boards-api.greenhouse.io/v1/boards/olivermexico/jobs/7748563</x:v>
      </x:c>
      <x:c r="R85" s="9" t="str">
        <x:v>https://job-boards.greenhouse.io/olivermexico/jobs/7748563</x:v>
      </x:c>
      <x:c r="S85" s="9" t="str">
        <x:v>Live public ATS read on 2026-10-06; publication date is ATS first_published, not update time.</x:v>
      </x:c>
      <x:c r="T85" s="9" t="str">
        <x:v>yes</x:v>
      </x:c>
      <x:c r="U85" s="9" t="str">
        <x:v>16992</x:v>
      </x:c>
    </x:row>
    <x:row r="86" ht="66" customHeight="1">
      <x:c r="A86" s="2" t="str">
        <x:v>J085</x:v>
      </x:c>
      <x:c r="B86" s="2" t="str">
        <x:v>A17</x:v>
      </x:c>
      <x:c r="C86" s="9" t="str">
        <x:v>OLIVER / OLIVER+ / Brandtech Plus</x:v>
      </x:c>
      <x:c r="D86" s="2" t="str">
        <x:v>Агентства</x:v>
      </x:c>
      <x:c r="E86" s="9" t="str">
        <x:v>OLIVER</x:v>
      </x:c>
      <x:c r="F86" s="9" t="str">
        <x:v>GenAI Content Creator</x:v>
      </x:c>
      <x:c r="G86" s="9" t="str">
        <x:v>Jakarta, Indonesia</x:v>
      </x:c>
      <x:c r="H86" s="7" t="n">
        <x:v>46241</x:v>
      </x:c>
      <x:c r="I86" s="9" t="str">
        <x:v>2026-08-07</x:v>
      </x:c>
      <x:c r="J86" s="9" t="str">
        <x:v>open</x:v>
      </x:c>
      <x:c r="K86" s="8" t="n">
        <x:v>0</x:v>
      </x:c>
      <x:c r="L86" s="8" t="n">
        <x:v>0</x:v>
      </x:c>
      <x:c r="M86" s="8" t="n">
        <x:v>1</x:v>
      </x:c>
      <x:c r="N86" s="9" t="str">
        <x:v>1 - official ATS</x:v>
      </x:c>
      <x:c r="O86" s="9" t="str">
        <x:v>Master Gen AI platforms (ChatGPT, Midjourney, Adobe Firefly, etc.)</x:v>
      </x:c>
      <x:c r="P86" s="9" t="str">
        <x:v>https://job-boards.greenhouse.io/oliverseapac/jobs/8113863</x:v>
      </x:c>
      <x:c r="Q86" s="9" t="str">
        <x:v>https://boards-api.greenhouse.io/v1/boards/oliverseapac/jobs/8113863</x:v>
      </x:c>
      <x:c r="R86" s="9" t="str">
        <x:v>https://job-boards.greenhouse.io/oliverseapac/jobs/8113863</x:v>
      </x:c>
      <x:c r="S86" s="9" t="str">
        <x:v>Live public ATS read on 2026-10-06; publication date is ATS first_published, not update time.</x:v>
      </x:c>
      <x:c r="T86" s="9" t="str">
        <x:v>yes</x:v>
      </x:c>
      <x:c r="U86" s="9" t="str">
        <x:v>18472</x:v>
      </x:c>
    </x:row>
    <x:row r="87" ht="66" customHeight="1">
      <x:c r="A87" s="2" t="str">
        <x:v>J086</x:v>
      </x:c>
      <x:c r="B87" s="2" t="str">
        <x:v>A17</x:v>
      </x:c>
      <x:c r="C87" s="9" t="str">
        <x:v>OLIVER / OLIVER+ / Brandtech Plus</x:v>
      </x:c>
      <x:c r="D87" s="2" t="str">
        <x:v>Агентства</x:v>
      </x:c>
      <x:c r="E87" s="9" t="str">
        <x:v>OLIVER</x:v>
      </x:c>
      <x:c r="F87" s="9" t="str">
        <x:v>Senior Project Manager/Producer - ARGENTINA</x:v>
      </x:c>
      <x:c r="G87" s="9" t="str">
        <x:v>Buenos Aires, Argentina</x:v>
      </x:c>
      <x:c r="H87" s="7" t="n">
        <x:v>46190</x:v>
      </x:c>
      <x:c r="I87" s="9" t="str">
        <x:v>2026-06-17</x:v>
      </x:c>
      <x:c r="J87" s="9" t="str">
        <x:v>open</x:v>
      </x:c>
      <x:c r="K87" s="8" t="n">
        <x:v>0</x:v>
      </x:c>
      <x:c r="L87" s="8" t="n">
        <x:v>0</x:v>
      </x:c>
      <x:c r="M87" s="8" t="n">
        <x:v>1</x:v>
      </x:c>
      <x:c r="N87" s="9" t="str">
        <x:v>1 - official ATS</x:v>
      </x:c>
      <x:c r="O87" s="9" t="str">
        <x:v>Working knowledge of Gen AI tools (such as ChatGPT, Claude, Midjourney, Adobe Firefly) and how they integrate into social content production workflows</x:v>
      </x:c>
      <x:c r="P87" s="9" t="str">
        <x:v>https://job-boards.greenhouse.io/oliverargentina/jobs/7818581</x:v>
      </x:c>
      <x:c r="Q87" s="9" t="str">
        <x:v>https://boards-api.greenhouse.io/v1/boards/oliverargentina/jobs/7818581</x:v>
      </x:c>
      <x:c r="R87" s="9" t="str">
        <x:v>https://job-boards.greenhouse.io/oliverargentina/jobs/7818581</x:v>
      </x:c>
      <x:c r="S87" s="9" t="str">
        <x:v>Live public ATS read on 2026-10-06; publication date is ATS first_published, not update time.</x:v>
      </x:c>
      <x:c r="T87" s="9" t="str">
        <x:v>yes</x:v>
      </x:c>
      <x:c r="U87" s="9" t="str">
        <x:v>17226</x:v>
      </x:c>
    </x:row>
    <x:row r="88" ht="66" customHeight="1">
      <x:c r="A88" s="2" t="str">
        <x:v>J087</x:v>
      </x:c>
      <x:c r="B88" s="2" t="str">
        <x:v>A17</x:v>
      </x:c>
      <x:c r="C88" s="9" t="str">
        <x:v>OLIVER / OLIVER+ / Brandtech Plus</x:v>
      </x:c>
      <x:c r="D88" s="2" t="str">
        <x:v>Агентства</x:v>
      </x:c>
      <x:c r="E88" s="9" t="str">
        <x:v>OLIVER</x:v>
      </x:c>
      <x:c r="F88" s="9" t="str">
        <x:v>Motion &amp; Content Production Lead</x:v>
      </x:c>
      <x:c r="G88" s="9" t="str">
        <x:v>London, United Kingdom</x:v>
      </x:c>
      <x:c r="H88" s="7" t="n">
        <x:v>46301</x:v>
      </x:c>
      <x:c r="I88" s="9" t="str">
        <x:v>2026-10-06</x:v>
      </x:c>
      <x:c r="J88" s="9" t="str">
        <x:v>open</x:v>
      </x:c>
      <x:c r="K88" s="8" t="n">
        <x:v>0</x:v>
      </x:c>
      <x:c r="L88" s="8" t="n">
        <x:v>1</x:v>
      </x:c>
      <x:c r="M88" s="8" t="n">
        <x:v>1</x:v>
      </x:c>
      <x:c r="N88" s="9" t="str">
        <x:v>1 - official ATS</x:v>
      </x:c>
      <x:c r="O88" s="9" t="str">
        <x:v>Hands-on experience with GenAI video and image tools such as Runway, Veo, Synthesia, or Adobe Firefly.</x:v>
      </x:c>
      <x:c r="P88" s="9" t="str">
        <x:v>https://job-boards.greenhouse.io/oliver/jobs/8243592</x:v>
      </x:c>
      <x:c r="Q88" s="9" t="str">
        <x:v>https://boards-api.greenhouse.io/v1/boards/oliver/jobs/8243592</x:v>
      </x:c>
      <x:c r="R88" s="9" t="str">
        <x:v>https://job-boards.greenhouse.io/oliver/jobs/8243592</x:v>
      </x:c>
      <x:c r="S88" s="9" t="str">
        <x:v>Live public ATS read on 2026-10-06; publication date is ATS first_published, not update time.</x:v>
      </x:c>
      <x:c r="T88" s="9" t="str">
        <x:v>yes</x:v>
      </x:c>
      <x:c r="U88" s="9" t="str">
        <x:v>18869</x:v>
      </x:c>
    </x:row>
    <x:row r="89" ht="66" customHeight="1">
      <x:c r="A89" s="2" t="str">
        <x:v>J088</x:v>
      </x:c>
      <x:c r="B89" s="2" t="str">
        <x:v>A19</x:v>
      </x:c>
      <x:c r="C89" s="9" t="str">
        <x:v>Artefact 3000</x:v>
      </x:c>
      <x:c r="D89" s="2" t="str">
        <x:v>Агентства</x:v>
      </x:c>
      <x:c r="E89" s="9" t="str">
        <x:v>Artefact 3000</x:v>
      </x:c>
      <x:c r="F89" s="9" t="str">
        <x:v>CDI - AI Designer  Motion &amp; Génératif  - Artefact 3000 - Paris</x:v>
      </x:c>
      <x:c r="G89" s="9" t="str">
        <x:v>9th arrondissement of Paris, 75009, Paris, France</x:v>
      </x:c>
      <x:c r="H89" s="7" t="n">
        <x:v>46174</x:v>
      </x:c>
      <x:c r="I89" s="9" t="str">
        <x:v>2026-06-01</x:v>
      </x:c>
      <x:c r="J89" s="9" t="str">
        <x:v>open</x:v>
      </x:c>
      <x:c r="K89" s="8" t="n">
        <x:v>1</x:v>
      </x:c>
      <x:c r="L89" s="8" t="n">
        <x:v>1</x:v>
      </x:c>
      <x:c r="M89" s="8" t="n">
        <x:v>0</x:v>
      </x:c>
      <x:c r="N89" s="9" t="str">
        <x:v>1 - official ATS</x:v>
      </x:c>
      <x:c r="O89" s="9" t="str">
        <x:v>Familier avec les plateformes de création IA (Higgsfield, Midjourney, Runway).</x:v>
      </x:c>
      <x:c r="P89" s="9" t="str">
        <x:v>https://job-boards.greenhouse.io/artefact/jobs/8573398002</x:v>
      </x:c>
      <x:c r="Q89" s="9" t="str">
        <x:v>https://job-boards.greenhouse.io/artefactlinkedin/jobs/8810221002; https://job-boards.greenhouse.io/artefactjobs/jobs/8810222002 | https://boards-api.greenhouse.io/v1/boards/artefact/jobs/8573398002</x:v>
      </x:c>
      <x:c r="R89" s="9" t="str">
        <x:v>https://job-boards.greenhouse.io/artefact/jobs/8573398002</x:v>
      </x:c>
      <x:c r="S89" s="9" t="str">
        <x:v>Live public ATS read on 2026-10-06; publication date is ATS first_published, not update time. Deduplicated posting IDs 8573398002, 8810221002, 8810222002 via shared internal job ID or near-identical repost.</x:v>
      </x:c>
      <x:c r="T89" s="9" t="str">
        <x:v>yes</x:v>
      </x:c>
      <x:c r="U89" s="9" t="str">
        <x:v>2484</x:v>
      </x:c>
    </x:row>
    <x:row r="90" ht="66" customHeight="1">
      <x:c r="A90" s="2" t="str">
        <x:v>J089</x:v>
      </x:c>
      <x:c r="B90" s="2" t="str">
        <x:v>A11</x:v>
      </x:c>
      <x:c r="C90" s="9" t="str">
        <x:v>Leo</x:v>
      </x:c>
      <x:c r="D90" s="2" t="str">
        <x:v>Агентства</x:v>
      </x:c>
      <x:c r="E90" s="9" t="str">
        <x:v>LEO MEA (Middle East &amp; Africa)</x:v>
      </x:c>
      <x:c r="F90" s="9" t="str">
        <x:v>Senior Video Editor</x:v>
      </x:c>
      <x:c r="G90" s="9" t="str">
        <x:v>Riyadh, Saudi Arabia</x:v>
      </x:c>
      <x:c r="H90" s="7"/>
      <x:c r="I90" s="9" t="str">
        <x:v>unknown</x:v>
      </x:c>
      <x:c r="J90" s="9" t="str">
        <x:v>closed</x:v>
      </x:c>
      <x:c r="K90" s="8" t="n">
        <x:v>0</x:v>
      </x:c>
      <x:c r="L90" s="8" t="n">
        <x:v>1</x:v>
      </x:c>
      <x:c r="M90" s="8" t="n">
        <x:v>0</x:v>
      </x:c>
      <x:c r="N90" s="9" t="str">
        <x:v>2 - employer LinkedIn</x:v>
      </x:c>
      <x:c r="O90" s="9" t="str">
        <x:v>Strong interest in Generative AI solutions for video creation, such as Runway and D-ID</x:v>
      </x:c>
      <x:c r="P90" s="9" t="str">
        <x:v>https://sa.linkedin.com/jobs/view/senior-video-editor-at-leo-mea-middle-east-africa-4432200956</x:v>
      </x:c>
      <x:c r="Q90" s="9" t="str"/>
      <x:c r="R90" s="9" t="str">
        <x:v>https://www.linkedin.com/company/leo-burnett-mena</x:v>
      </x:c>
      <x:c r="S90" s="9" t="str">
        <x:v>Interest requirement within GenAI-assisted video-production role. Date unknown; LinkedIn relative age is not treated as exact.</x:v>
      </x:c>
      <x:c r="T90" s="9" t="str">
        <x:v>yes</x:v>
      </x:c>
      <x:c r="U90" s="9" t="str">
        <x:v>4432200956</x:v>
      </x:c>
    </x:row>
    <x:row r="91" ht="66" customHeight="1">
      <x:c r="A91" s="2" t="str">
        <x:v>J090</x:v>
      </x:c>
      <x:c r="B91" s="2" t="str">
        <x:v>A12</x:v>
      </x:c>
      <x:c r="C91" s="9" t="str">
        <x:v>Digitas</x:v>
      </x:c>
      <x:c r="D91" s="2" t="str">
        <x:v>Агентства</x:v>
      </x:c>
      <x:c r="E91" s="9" t="str">
        <x:v>Digitas Peru</x:v>
      </x:c>
      <x:c r="F91" s="9" t="str">
        <x:v>Tik Tok Lead</x:v>
      </x:c>
      <x:c r="G91" s="9" t="str">
        <x:v>Peru</x:v>
      </x:c>
      <x:c r="H91" s="7"/>
      <x:c r="I91" s="9" t="str">
        <x:v>unknown</x:v>
      </x:c>
      <x:c r="J91" s="9" t="str">
        <x:v>closed</x:v>
      </x:c>
      <x:c r="K91" s="8" t="n">
        <x:v>0</x:v>
      </x:c>
      <x:c r="L91" s="8" t="n">
        <x:v>1</x:v>
      </x:c>
      <x:c r="M91" s="8" t="n">
        <x:v>0</x:v>
      </x:c>
      <x:c r="N91" s="9" t="str">
        <x:v>2 - employer LinkedIn</x:v>
      </x:c>
      <x:c r="O91" s="9" t="str">
        <x:v>Familiaridad con herramientas de producción asistidas por IA (Runway, Descript, Pictory, etc.).</x:v>
      </x:c>
      <x:c r="P91" s="9" t="str">
        <x:v>https://pe.linkedin.com/jobs/view/tik-tok-lead-at-digitas-peru-4277955757</x:v>
      </x:c>
      <x:c r="Q91" s="9" t="str"/>
      <x:c r="R91" s="9" t="str">
        <x:v>https://pe.linkedin.com/jobs/view/tik-tok-lead-at-digitas-peru-4277955757</x:v>
      </x:c>
      <x:c r="S91" s="9" t="str"/>
      <x:c r="T91" s="9" t="str">
        <x:v>yes</x:v>
      </x:c>
      <x:c r="U91" s="9" t="str">
        <x:v>4277955757</x:v>
      </x:c>
    </x:row>
    <x:row r="92" ht="66" customHeight="1">
      <x:c r="A92" s="2" t="str">
        <x:v>J091</x:v>
      </x:c>
      <x:c r="B92" s="2" t="str">
        <x:v>A13</x:v>
      </x:c>
      <x:c r="C92" s="9" t="str">
        <x:v>Accenture Song / Droga5</x:v>
      </x:c>
      <x:c r="D92" s="2" t="str">
        <x:v>Агентства</x:v>
      </x:c>
      <x:c r="E92" s="9" t="str">
        <x:v>Droga5 / Accenture UK &amp; Ireland</x:v>
      </x:c>
      <x:c r="F92" s="9" t="str">
        <x:v>Junior Content Designer</x:v>
      </x:c>
      <x:c r="G92" s="9" t="str">
        <x:v>Dublin, Ireland</x:v>
      </x:c>
      <x:c r="H92" s="7"/>
      <x:c r="I92" s="9" t="str">
        <x:v>unknown</x:v>
      </x:c>
      <x:c r="J92" s="9" t="str">
        <x:v>closed</x:v>
      </x:c>
      <x:c r="K92" s="8" t="n">
        <x:v>1</x:v>
      </x:c>
      <x:c r="L92" s="8" t="n">
        <x:v>0</x:v>
      </x:c>
      <x:c r="M92" s="8" t="n">
        <x:v>0</x:v>
      </x:c>
      <x:c r="N92" s="9" t="str">
        <x:v>2 - employer LinkedIn</x:v>
      </x:c>
      <x:c r="O92" s="9" t="str">
        <x:v>AI Production: You have experience with AI design tools like ComfyAI, Weavy and Higgsfield</x:v>
      </x:c>
      <x:c r="P92" s="9" t="str">
        <x:v>https://ie.linkedin.com/jobs/view/junior-content-designer-at-accenture-uk-ireland-4406587994</x:v>
      </x:c>
      <x:c r="Q92" s="9" t="str"/>
      <x:c r="R92" s="9" t="str">
        <x:v>https://ie.linkedin.com/jobs/view/junior-content-designer-at-accenture-uk-ireland-4406587994</x:v>
      </x:c>
      <x:c r="S92" s="9" t="str">
        <x:v>Employer body explicitly identifies Droga5. Exact full LinkedIn page verified; AI-enhanced DesignProject mirror not used as evidence.</x:v>
      </x:c>
      <x:c r="T92" s="9" t="str">
        <x:v>yes</x:v>
      </x:c>
      <x:c r="U92" s="9" t="str">
        <x:v>4406587994</x:v>
      </x:c>
    </x:row>
    <x:row r="93" ht="66" customHeight="1">
      <x:c r="A93" s="2" t="str">
        <x:v>J092</x:v>
      </x:c>
      <x:c r="B93" s="2" t="str">
        <x:v>A13</x:v>
      </x:c>
      <x:c r="C93" s="9" t="str">
        <x:v>Accenture Song / Droga5</x:v>
      </x:c>
      <x:c r="D93" s="2" t="str">
        <x:v>Агентства</x:v>
      </x:c>
      <x:c r="E93" s="9" t="str">
        <x:v>Accenture GN Song</x:v>
      </x:c>
      <x:c r="F93" s="9" t="str">
        <x:v>GN - Song - MT - Brand and Creative Strategy - Video Editor - Sr. Analyst</x:v>
      </x:c>
      <x:c r="G93" s="9" t="str">
        <x:v>Mumbai / Gurgaon / Bengaluru, India</x:v>
      </x:c>
      <x:c r="H93" s="7"/>
      <x:c r="I93" s="9" t="str">
        <x:v>unknown</x:v>
      </x:c>
      <x:c r="J93" s="9" t="str">
        <x:v>historical_status_unknown</x:v>
      </x:c>
      <x:c r="K93" s="8" t="n">
        <x:v>0</x:v>
      </x:c>
      <x:c r="L93" s="8" t="n">
        <x:v>1</x:v>
      </x:c>
      <x:c r="M93" s="8" t="n">
        <x:v>0</x:v>
      </x:c>
      <x:c r="N93" s="9" t="str">
        <x:v>1 - official careers</x:v>
      </x:c>
      <x:c r="O93" s="9" t="str">
        <x:v>Experience with GenAI video tools and diffusion models (Veo 3, Sora, Runway, Nano Banana, etc.) is a significant plus.</x:v>
      </x:c>
      <x:c r="P93" s="9" t="str">
        <x:v>https://www.accenture.com/co-es/careers/jobdetails?id=R00264630_en</x:v>
      </x:c>
      <x:c r="Q93" s="9" t="str">
        <x:v>https://www.accenture.com/fr-fr/careers/jobdetails?id=R00264630_en; https://www.accenture.com/ch-de/careers/jobdetails?id=R00264630_en</x:v>
      </x:c>
      <x:c r="R93" s="9" t="str">
        <x:v>https://www.accenture.com/co-es/careers/jobdetails?id=R00264630_en</x:v>
      </x:c>
      <x:c r="S93" s="9" t="str">
        <x:v>Multiple locale/location URLs share R00264630 and one vacancy. A German locale says unavailable; status uncertain across locales.</x:v>
      </x:c>
      <x:c r="T93" s="9" t="str">
        <x:v>yes</x:v>
      </x:c>
      <x:c r="U93" s="9" t="str">
        <x:v>R00264630</x:v>
      </x:c>
    </x:row>
    <x:row r="94" ht="66" customHeight="1">
      <x:c r="A94" s="2" t="str">
        <x:v>J093</x:v>
      </x:c>
      <x:c r="B94" s="2" t="str">
        <x:v>A13</x:v>
      </x:c>
      <x:c r="C94" s="9" t="str">
        <x:v>Accenture Song / Droga5</x:v>
      </x:c>
      <x:c r="D94" s="2" t="str">
        <x:v>Агентства</x:v>
      </x:c>
      <x:c r="E94" s="9" t="str">
        <x:v>Accenture Song Life</x:v>
      </x:c>
      <x:c r="F94" s="9" t="str">
        <x:v>Enterprise &amp; Client Solutions Manager, AI, Song Life</x:v>
      </x:c>
      <x:c r="G94" s="9" t="str">
        <x:v>Multiple US locations</x:v>
      </x:c>
      <x:c r="H94" s="7"/>
      <x:c r="I94" s="9" t="str">
        <x:v>unknown</x:v>
      </x:c>
      <x:c r="J94" s="9" t="str">
        <x:v>open</x:v>
      </x:c>
      <x:c r="K94" s="8" t="n">
        <x:v>0</x:v>
      </x:c>
      <x:c r="L94" s="8" t="n">
        <x:v>1</x:v>
      </x:c>
      <x:c r="M94" s="8" t="n">
        <x:v>1</x:v>
      </x:c>
      <x:c r="N94" s="9" t="str">
        <x:v>1 - official careers</x:v>
      </x:c>
      <x:c r="O94" s="9" t="str">
        <x:v>Adobe Firefly, Midjourney, Runway — visual ideation, image and video generation within creative workflows</x:v>
      </x:c>
      <x:c r="P94" s="9" t="str">
        <x:v>https://www.accenture.com/us-en/careers/jobdetails?id=R00346417_en</x:v>
      </x:c>
      <x:c r="Q94" s="9" t="str"/>
      <x:c r="R94" s="9" t="str">
        <x:v>https://www.accenture.com/us-en/careers/jobdetails?id=R00346417_en</x:v>
      </x:c>
      <x:c r="S94" s="9" t="str">
        <x:v>Creative engineer/maker role explicitly conceives, prototypes and ships creative AI solutions; included as creative technology, despite manager title.</x:v>
      </x:c>
      <x:c r="T94" s="9" t="str">
        <x:v>yes</x:v>
      </x:c>
      <x:c r="U94" s="9" t="str">
        <x:v>R00346417</x:v>
      </x:c>
    </x:row>
    <x:row r="95" ht="66" customHeight="1">
      <x:c r="A95" s="2" t="str">
        <x:v>J094</x:v>
      </x:c>
      <x:c r="B95" s="2" t="str">
        <x:v>A13</x:v>
      </x:c>
      <x:c r="C95" s="9" t="str">
        <x:v>Accenture Song / Droga5</x:v>
      </x:c>
      <x:c r="D95" s="2" t="str">
        <x:v>Агентства</x:v>
      </x:c>
      <x:c r="E95" s="9" t="str">
        <x:v>Accenture Song</x:v>
      </x:c>
      <x:c r="F95" s="9" t="str">
        <x:v>Adobe Content Supply Chain Specialist</x:v>
      </x:c>
      <x:c r="G95" s="9" t="str">
        <x:v>Rome, Italy</x:v>
      </x:c>
      <x:c r="H95" s="7"/>
      <x:c r="I95" s="9" t="str">
        <x:v>unknown</x:v>
      </x:c>
      <x:c r="J95" s="9" t="str">
        <x:v>open</x:v>
      </x:c>
      <x:c r="K95" s="8" t="n">
        <x:v>0</x:v>
      </x:c>
      <x:c r="L95" s="8" t="n">
        <x:v>0</x:v>
      </x:c>
      <x:c r="M95" s="8" t="n">
        <x:v>1</x:v>
      </x:c>
      <x:c r="N95" s="9" t="str">
        <x:v>1 - official careers</x:v>
      </x:c>
      <x:c r="O95" s="9" t="str">
        <x:v>Utilizzare strumenti di Generative AI (Adobe Firefly, Adobe GenStudio, Microsoft Copilot o equivalenti) per la produzione, personalizzazione e scalabilità dei contenuti</x:v>
      </x:c>
      <x:c r="P95" s="9" t="str">
        <x:v>https://www.accenture.com/it-it/careers/jobdetails?id=14756767_it</x:v>
      </x:c>
      <x:c r="Q95" s="9" t="str"/>
      <x:c r="R95" s="9" t="str">
        <x:v>https://www.accenture.com/it-it/careers/jobdetails?id=14756767_it</x:v>
      </x:c>
      <x:c r="S95" s="9" t="str">
        <x:v>Role explicitly designs/creates/implements digital content and operates content-production workflows; included as content production technology.</x:v>
      </x:c>
      <x:c r="T95" s="9" t="str">
        <x:v>yes</x:v>
      </x:c>
      <x:c r="U95" s="9" t="str">
        <x:v>14756767</x:v>
      </x:c>
    </x:row>
    <x:row r="96" ht="66" customHeight="1">
      <x:c r="A96" s="2" t="str">
        <x:v>J095</x:v>
      </x:c>
      <x:c r="B96" s="2" t="str">
        <x:v>A14</x:v>
      </x:c>
      <x:c r="C96" s="9" t="str">
        <x:v>Dentsu Creative</x:v>
      </x:c>
      <x:c r="D96" s="2" t="str">
        <x:v>Агентства</x:v>
      </x:c>
      <x:c r="E96" s="9" t="str">
        <x:v>Dentsu Creative</x:v>
      </x:c>
      <x:c r="F96" s="9" t="str">
        <x:v>Graphic Designer</x:v>
      </x:c>
      <x:c r="G96" s="9" t="str">
        <x:v>Beirut, Lebanon</x:v>
      </x:c>
      <x:c r="H96" s="7"/>
      <x:c r="I96" s="9" t="str">
        <x:v>unknown</x:v>
      </x:c>
      <x:c r="J96" s="9" t="str">
        <x:v>closed</x:v>
      </x:c>
      <x:c r="K96" s="8" t="n">
        <x:v>0</x:v>
      </x:c>
      <x:c r="L96" s="8" t="n">
        <x:v>0</x:v>
      </x:c>
      <x:c r="M96" s="8" t="n">
        <x:v>1</x:v>
      </x:c>
      <x:c r="N96" s="9" t="str">
        <x:v>2 - employer LinkedIn</x:v>
      </x:c>
      <x:c r="O96" s="9" t="str">
        <x:v>Experience using AI tools such as Midjourney, Firefly, or DALL·E to ideate and generate creative visuals.</x:v>
      </x:c>
      <x:c r="P96" s="9" t="str">
        <x:v>https://lb.linkedin.com/jobs/view/graphic-designer-at-dentsu-creative-4317654766</x:v>
      </x:c>
      <x:c r="Q96" s="9" t="str"/>
      <x:c r="R96" s="9" t="str">
        <x:v>https://lb.linkedin.com/jobs/view/graphic-designer-at-dentsu-creative-4317654766</x:v>
      </x:c>
      <x:c r="S96" s="9" t="str"/>
      <x:c r="T96" s="9" t="str">
        <x:v>yes</x:v>
      </x:c>
      <x:c r="U96" s="9" t="str">
        <x:v>4317654766</x:v>
      </x:c>
    </x:row>
    <x:row r="97" ht="66" customHeight="1">
      <x:c r="A97" s="2" t="str">
        <x:v>J096</x:v>
      </x:c>
      <x:c r="B97" s="2" t="str">
        <x:v>A14</x:v>
      </x:c>
      <x:c r="C97" s="9" t="str">
        <x:v>Dentsu Creative</x:v>
      </x:c>
      <x:c r="D97" s="2" t="str">
        <x:v>Агентства</x:v>
      </x:c>
      <x:c r="E97" s="9" t="str">
        <x:v>Dentsu Creative</x:v>
      </x:c>
      <x:c r="F97" s="9" t="str">
        <x:v>Senior Creative</x:v>
      </x:c>
      <x:c r="G97" s="9" t="str">
        <x:v>London, United Kingdom</x:v>
      </x:c>
      <x:c r="H97" s="7"/>
      <x:c r="I97" s="9" t="str">
        <x:v>unknown</x:v>
      </x:c>
      <x:c r="J97" s="9" t="str">
        <x:v>historical_status_unknown</x:v>
      </x:c>
      <x:c r="K97" s="8" t="n">
        <x:v>0</x:v>
      </x:c>
      <x:c r="L97" s="8" t="n">
        <x:v>0</x:v>
      </x:c>
      <x:c r="M97" s="8" t="n">
        <x:v>1</x:v>
      </x:c>
      <x:c r="N97" s="9" t="str">
        <x:v>3 - full JD mirror</x:v>
      </x:c>
      <x:c r="O97" s="9" t="str">
        <x:v>requires someone who understands the positioning of products like Adobe Firefly within the market</x:v>
      </x:c>
      <x:c r="P97" s="9" t="str">
        <x:v>https://dentsuaegis.wd3.myworkdayjobs.com/en-US/DAN_GLOBAL/job/Senior-Creative_R1123098</x:v>
      </x:c>
      <x:c r="Q97" s="9" t="str">
        <x:v>https://uk.linkedin.com/jobs/view/senior-creative-at-dentsu-creative-4415782729 | https://builtin.com/job/senior-creative/9416566</x:v>
      </x:c>
      <x:c r="R97" s="9" t="str">
        <x:v>https://dentsuaegis.wd3.myworkdayjobs.com/en-US/DAN_GLOBAL/job/Senior-Creative_R1123098</x:v>
      </x:c>
      <x:c r="S97" s="9" t="str">
        <x:v>Named product knowledge requirement on Adobe client account; AI-native creative role. Full Built In employer JD inspected. Official/LinkedIn pages no longer expose body. Brand in mirrored JD explicitly Dentsu Creative.</x:v>
      </x:c>
      <x:c r="T97" s="9" t="str">
        <x:v>yes</x:v>
      </x:c>
      <x:c r="U97" s="9" t="str">
        <x:v>R1123098</x:v>
      </x:c>
    </x:row>
    <x:row r="98" ht="66" customHeight="1">
      <x:c r="A98" s="2" t="str">
        <x:v>J097</x:v>
      </x:c>
      <x:c r="B98" s="2" t="str">
        <x:v>A15</x:v>
      </x:c>
      <x:c r="C98" s="9" t="str">
        <x:v>Havas Creative</x:v>
      </x:c>
      <x:c r="D98" s="2" t="str">
        <x:v>Агентства</x:v>
      </x:c>
      <x:c r="E98" s="9" t="str">
        <x:v>Havas Milan / Providence Italy Srl / Prose on Pixels Italia</x:v>
      </x:c>
      <x:c r="F98" s="9" t="str">
        <x:v>STAGE - Photographer Assistant</x:v>
      </x:c>
      <x:c r="G98" s="9" t="str">
        <x:v>Milan, Italy</x:v>
      </x:c>
      <x:c r="H98" s="7" t="n">
        <x:v>46196</x:v>
      </x:c>
      <x:c r="I98" s="9" t="str">
        <x:v>2026-06-23</x:v>
      </x:c>
      <x:c r="J98" s="9" t="str">
        <x:v>open</x:v>
      </x:c>
      <x:c r="K98" s="8" t="n">
        <x:v>1</x:v>
      </x:c>
      <x:c r="L98" s="8" t="n">
        <x:v>1</x:v>
      </x:c>
      <x:c r="M98" s="8" t="n">
        <x:v>1</x:v>
      </x:c>
      <x:c r="N98" s="9" t="str">
        <x:v>1 - official ATS</x:v>
      </x:c>
      <x:c r="O98" s="9" t="str">
        <x:v>generazione e ottimizzazione di immagini e video: Higgsfield, Adobe Firefly, Midjourney, Google Veo, Runway</x:v>
      </x:c>
      <x:c r="P98" s="9" t="str">
        <x:v>https://havas.wd3.myworkdayjobs.com/en-US/GroupExternalCareerSite/job/STAGE---Photographer-Assistant_JR0097209</x:v>
      </x:c>
      <x:c r="Q98" s="9" t="str">
        <x:v>https://it.linkedin.com/jobs/view/stage-photographer-assistant-at-havas-milan-4429459400</x:v>
      </x:c>
      <x:c r="R98" s="9" t="str">
        <x:v>https://www.havas.com/wp-content/uploads/2024/10/havas-prospectus-30.10.24.pdf</x:v>
      </x:c>
      <x:c r="S98" s="9" t="str">
        <x:v>Official JD names Havas Milan and POP Italia. Havas prospectus section 7.4.1.1 places POP content production in Havas Creative.</x:v>
      </x:c>
      <x:c r="T98" s="9" t="str">
        <x:v>yes</x:v>
      </x:c>
      <x:c r="U98" s="9" t="str">
        <x:v>JR0097209</x:v>
      </x:c>
    </x:row>
    <x:row r="99" ht="66" customHeight="1">
      <x:c r="A99" s="2" t="str">
        <x:v>J098</x:v>
      </x:c>
      <x:c r="B99" s="2" t="str">
        <x:v>A16</x:v>
      </x:c>
      <x:c r="C99" s="9" t="str">
        <x:v>Monks</x:v>
      </x:c>
      <x:c r="D99" s="2" t="str">
        <x:v>Агентства</x:v>
      </x:c>
      <x:c r="E99" s="9" t="str">
        <x:v>Monks</x:v>
      </x:c>
      <x:c r="F99" s="9" t="str">
        <x:v>Creative Technologist (temporary contract)</x:v>
      </x:c>
      <x:c r="G99" s="9" t="str">
        <x:v>Vancouver, Canada</x:v>
      </x:c>
      <x:c r="H99" s="7"/>
      <x:c r="I99" s="9" t="str">
        <x:v>unknown</x:v>
      </x:c>
      <x:c r="J99" s="9" t="str">
        <x:v>closed</x:v>
      </x:c>
      <x:c r="K99" s="8" t="n">
        <x:v>0</x:v>
      </x:c>
      <x:c r="L99" s="8" t="n">
        <x:v>1</x:v>
      </x:c>
      <x:c r="M99" s="8" t="n">
        <x:v>1</x:v>
      </x:c>
      <x:c r="N99" s="9" t="str">
        <x:v>3 - full JD mirror</x:v>
      </x:c>
      <x:c r="O99" s="9" t="str">
        <x:v>AI tool-stacks MUST HAVE: ComfyUI, Adobe (Firefly) ... AI tool-stacks NICE TO HAVE: Chat GPT, Runway, LUMA, Eleven Labs</x:v>
      </x:c>
      <x:c r="P99" s="9" t="str">
        <x:v>https://builtin.com/job/creative-technologist/7698736</x:v>
      </x:c>
      <x:c r="Q99" s="9" t="str"/>
      <x:c r="R99" s="9" t="str">
        <x:v>https://builtin.com/job/creative-technologist/7698736</x:v>
      </x:c>
      <x:c r="S99" s="9" t="str">
        <x:v>Removed 2026-01-12. Temporary role expected through 2025-12-20. Original ATS requisition not recovered; full employer description reproduced by Built In.</x:v>
      </x:c>
      <x:c r="T99" s="9" t="str">
        <x:v>yes</x:v>
      </x:c>
      <x:c r="U99" s="9" t="str">
        <x:v>builtin-7698736</x:v>
      </x:c>
    </x:row>
    <x:row r="100" ht="66" customHeight="1">
      <x:c r="A100" s="2" t="str">
        <x:v>J099</x:v>
      </x:c>
      <x:c r="B100" s="2" t="str">
        <x:v>A16</x:v>
      </x:c>
      <x:c r="C100" s="9" t="str">
        <x:v>Monks</x:v>
      </x:c>
      <x:c r="D100" s="2" t="str">
        <x:v>Агентства</x:v>
      </x:c>
      <x:c r="E100" s="9" t="str">
        <x:v>Monks</x:v>
      </x:c>
      <x:c r="F100" s="9" t="str">
        <x:v>Design Director</x:v>
      </x:c>
      <x:c r="G100" s="9" t="str">
        <x:v>Cairo, Egypt</x:v>
      </x:c>
      <x:c r="H100" s="7"/>
      <x:c r="I100" s="9" t="str">
        <x:v>unknown</x:v>
      </x:c>
      <x:c r="J100" s="9" t="str">
        <x:v>historical_status_unknown</x:v>
      </x:c>
      <x:c r="K100" s="8" t="n">
        <x:v>0</x:v>
      </x:c>
      <x:c r="L100" s="8" t="n">
        <x:v>1</x:v>
      </x:c>
      <x:c r="M100" s="8" t="n">
        <x:v>1</x:v>
      </x:c>
      <x:c r="N100" s="9" t="str">
        <x:v>1 - official careers</x:v>
      </x:c>
      <x:c r="O100" s="9" t="str">
        <x:v>workflows that integrate AI-generated content, image generation, and automation tools (e.g., Midjourney, Runway, Firefly, Stable Diffusion, ChatGPT-based ideation)</x:v>
      </x:c>
      <x:c r="P100" s="9" t="str">
        <x:v>https://www.monks.com/careers/cairo/creative-content/design-director</x:v>
      </x:c>
      <x:c r="Q100" s="9" t="str">
        <x:v>https://www.monks.com/careers/cairo/creative-design-content/design-director</x:v>
      </x:c>
      <x:c r="R100" s="9" t="str">
        <x:v>https://www.monks.com/careers/cairo/creative-content/design-director</x:v>
      </x:c>
      <x:c r="S100" s="9" t="str">
        <x:v>Historical full official page readable; absent from current board. Numeric ATS ID unavailable.</x:v>
      </x:c>
      <x:c r="T100" s="9" t="str">
        <x:v>yes</x:v>
      </x:c>
      <x:c r="U100" s="9" t="str">
        <x:v>monks-cairo-design-director</x:v>
      </x:c>
    </x:row>
    <x:row r="101" ht="66" customHeight="1">
      <x:c r="A101" s="2" t="str">
        <x:v>J100</x:v>
      </x:c>
      <x:c r="B101" s="2" t="str">
        <x:v>A17</x:v>
      </x:c>
      <x:c r="C101" s="9" t="str">
        <x:v>OLIVER / OLIVER+ / Brandtech Plus</x:v>
      </x:c>
      <x:c r="D101" s="2" t="str">
        <x:v>Агентства</x:v>
      </x:c>
      <x:c r="E101" s="9" t="str">
        <x:v>Brandtech+ (formerly OLIVER+)</x:v>
      </x:c>
      <x:c r="F101" s="9" t="str">
        <x:v>Senior CGI Generalist</x:v>
      </x:c>
      <x:c r="G101" s="9" t="str">
        <x:v>India (remote) / Mumbai</x:v>
      </x:c>
      <x:c r="H101" s="7" t="n">
        <x:v>46250</x:v>
      </x:c>
      <x:c r="I101" s="9" t="str">
        <x:v>2026-08-16</x:v>
      </x:c>
      <x:c r="J101" s="9" t="str">
        <x:v>closed</x:v>
      </x:c>
      <x:c r="K101" s="8" t="n">
        <x:v>1</x:v>
      </x:c>
      <x:c r="L101" s="8" t="n">
        <x:v>1</x:v>
      </x:c>
      <x:c r="M101" s="8" t="n">
        <x:v>1</x:v>
      </x:c>
      <x:c r="N101" s="9" t="str">
        <x:v>3 - full JD mirror</x:v>
      </x:c>
      <x:c r="O101" s="9" t="str">
        <x:v>image generation (Midjourney, Adobe Firefly, Freepik), video and motion generation (Runway ML, Kling, Higgsfield)</x:v>
      </x:c>
      <x:c r="P101" s="9" t="str">
        <x:v>https://job-boards.greenhouse.io/brandtechplus/jobs/7957135</x:v>
      </x:c>
      <x:c r="Q101" s="9" t="str">
        <x:v>https://in.linkedin.com/jobs/view/senior-cgi-generalist-at-brandtech-plus-4424410696 | https://flexgen.zya.me/job/senior-cgi-generalist</x:v>
      </x:c>
      <x:c r="R101" s="9" t="str">
        <x:v>https://flexgen.zya.me/job/senior-cgi-generalist</x:v>
      </x:c>
      <x:c r="S101" s="9" t="str">
        <x:v>Req ID 17689. Full historical mirror inspected. Same role mirrored on employer LinkedIn; official current board omits it.</x:v>
      </x:c>
      <x:c r="T101" s="9" t="str">
        <x:v>yes</x:v>
      </x:c>
      <x:c r="U101" s="9" t="str">
        <x:v>7957135</x:v>
      </x:c>
    </x:row>
    <x:row r="102" ht="66" customHeight="1">
      <x:c r="A102" s="2" t="str">
        <x:v>J101</x:v>
      </x:c>
      <x:c r="B102" s="2" t="str">
        <x:v>A17</x:v>
      </x:c>
      <x:c r="C102" s="9" t="str">
        <x:v>OLIVER / OLIVER+ / Brandtech Plus</x:v>
      </x:c>
      <x:c r="D102" s="2" t="str">
        <x:v>Агентства</x:v>
      </x:c>
      <x:c r="E102" s="9" t="str">
        <x:v>OLIVER+ / Brandtech+</x:v>
      </x:c>
      <x:c r="F102" s="9" t="str">
        <x:v>GenAI Senior Motion Designer</x:v>
      </x:c>
      <x:c r="G102" s="9" t="str">
        <x:v>India (remote)</x:v>
      </x:c>
      <x:c r="H102" s="7"/>
      <x:c r="I102" s="9" t="str">
        <x:v>unknown</x:v>
      </x:c>
      <x:c r="J102" s="9" t="str">
        <x:v>historical_status_unknown</x:v>
      </x:c>
      <x:c r="K102" s="8" t="n">
        <x:v>0</x:v>
      </x:c>
      <x:c r="L102" s="8" t="n">
        <x:v>0</x:v>
      </x:c>
      <x:c r="M102" s="8" t="n">
        <x:v>1</x:v>
      </x:c>
      <x:c r="N102" s="9" t="str">
        <x:v>3 - full JD mirror</x:v>
      </x:c>
      <x:c r="O102" s="9" t="str">
        <x:v>Working knowledge of GenAI tools such as ChatGPT, Midjourney, Adobe Firefly, Veo3 etc.</x:v>
      </x:c>
      <x:c r="P102" s="9" t="str">
        <x:v>https://job-boards.greenhouse.io/oliverplus/jobs/7248014</x:v>
      </x:c>
      <x:c r="Q102" s="9" t="str">
        <x:v>https://jobs.weekday.works/brandtech%2B-genai-senior-motion-designer</x:v>
      </x:c>
      <x:c r="R102" s="9" t="str">
        <x:v>https://job-boards.greenhouse.io/oliverplus/jobs/7248014</x:v>
      </x:c>
      <x:c r="S102" s="9" t="str">
        <x:v>Historical old-brand ATS page now 404; full Weekday mirror used. Distinct motion-specialist role from current integrated-designer requisitions. Original publication date unknown.</x:v>
      </x:c>
      <x:c r="T102" s="9" t="str">
        <x:v>yes</x:v>
      </x:c>
      <x:c r="U102" s="9" t="str">
        <x:v>7248014</x:v>
      </x:c>
    </x:row>
    <x:row r="103" ht="66" customHeight="1">
      <x:c r="A103" s="2" t="str">
        <x:v>J102</x:v>
      </x:c>
      <x:c r="B103" s="2" t="str">
        <x:v>A18</x:v>
      </x:c>
      <x:c r="C103" s="9" t="str">
        <x:v>R/GA</x:v>
      </x:c>
      <x:c r="D103" s="2" t="str">
        <x:v>Агентства</x:v>
      </x:c>
      <x:c r="E103" s="9" t="str">
        <x:v>R/GA</x:v>
      </x:c>
      <x:c r="F103" s="9" t="str">
        <x:v>Senior Animator</x:v>
      </x:c>
      <x:c r="G103" s="9" t="str">
        <x:v>Buenos Aires, Argentina</x:v>
      </x:c>
      <x:c r="H103" s="7"/>
      <x:c r="I103" s="9" t="str">
        <x:v>unknown</x:v>
      </x:c>
      <x:c r="J103" s="9" t="str">
        <x:v>closed</x:v>
      </x:c>
      <x:c r="K103" s="8" t="n">
        <x:v>0</x:v>
      </x:c>
      <x:c r="L103" s="8" t="n">
        <x:v>1</x:v>
      </x:c>
      <x:c r="M103" s="8" t="n">
        <x:v>1</x:v>
      </x:c>
      <x:c r="N103" s="9" t="str">
        <x:v>2 - employer LinkedIn</x:v>
      </x:c>
      <x:c r="O103" s="9" t="str">
        <x:v>integrate emerging animation technologies, including AI-powered tools (e.g., RunwayML, Adobe Firefly, Midjourney Video), to enhance creative output and efficiency.</x:v>
      </x:c>
      <x:c r="P103" s="9" t="str">
        <x:v>https://ar.linkedin.com/jobs/view/senior-animator-at-r-ga-4243669801</x:v>
      </x:c>
      <x:c r="Q103" s="9" t="str"/>
      <x:c r="R103" s="9" t="str">
        <x:v>https://ar.linkedin.com/jobs/view/senior-animator-at-r-ga-4243669801</x:v>
      </x:c>
      <x:c r="S103" s="9" t="str"/>
      <x:c r="T103" s="9" t="str">
        <x:v>yes</x:v>
      </x:c>
      <x:c r="U103" s="9" t="str">
        <x:v>4243669801</x:v>
      </x:c>
    </x:row>
    <x:row r="104" ht="66" customHeight="1">
      <x:c r="A104" s="2" t="str">
        <x:v>J103</x:v>
      </x:c>
      <x:c r="B104" s="2" t="str">
        <x:v>A18</x:v>
      </x:c>
      <x:c r="C104" s="9" t="str">
        <x:v>R/GA</x:v>
      </x:c>
      <x:c r="D104" s="2" t="str">
        <x:v>Агентства</x:v>
      </x:c>
      <x:c r="E104" s="9" t="str">
        <x:v>R/GA</x:v>
      </x:c>
      <x:c r="F104" s="9" t="str">
        <x:v>Senior Product Designer</x:v>
      </x:c>
      <x:c r="G104" s="9" t="str">
        <x:v>Buenos Aires, Argentina (remote)</x:v>
      </x:c>
      <x:c r="H104" s="7"/>
      <x:c r="I104" s="9" t="str">
        <x:v>unknown</x:v>
      </x:c>
      <x:c r="J104" s="9" t="str">
        <x:v>closed</x:v>
      </x:c>
      <x:c r="K104" s="8" t="n">
        <x:v>0</x:v>
      </x:c>
      <x:c r="L104" s="8" t="n">
        <x:v>1</x:v>
      </x:c>
      <x:c r="M104" s="8" t="n">
        <x:v>0</x:v>
      </x:c>
      <x:c r="N104" s="9" t="str">
        <x:v>3 - full JD mirror</x:v>
      </x:c>
      <x:c r="O104" s="9" t="str">
        <x:v>fluency in emerging generative tools (e.g. Gemini, Flow, AI Studio, Runway, v0, Claude Code, etc.)</x:v>
      </x:c>
      <x:c r="P104" s="9" t="str">
        <x:v>https://builtin.com/job/senior-product-designer/9187813</x:v>
      </x:c>
      <x:c r="Q104" s="9" t="str"/>
      <x:c r="R104" s="9" t="str">
        <x:v>https://builtin.com/job/senior-product-designer/9187813</x:v>
      </x:c>
      <x:c r="S104" s="9" t="str">
        <x:v>Removed 2026-06-16; original publication and ATS ID unknown. Full employer JD inspected.</x:v>
      </x:c>
      <x:c r="T104" s="9" t="str">
        <x:v>yes</x:v>
      </x:c>
      <x:c r="U104" s="9" t="str">
        <x:v>builtin-9187813</x:v>
      </x:c>
    </x:row>
    <x:row r="105" ht="66" customHeight="1">
      <x:c r="A105" s="2" t="str">
        <x:v>J104</x:v>
      </x:c>
      <x:c r="B105" s="2" t="str">
        <x:v>A18</x:v>
      </x:c>
      <x:c r="C105" s="9" t="str">
        <x:v>R/GA</x:v>
      </x:c>
      <x:c r="D105" s="2" t="str">
        <x:v>Агентства</x:v>
      </x:c>
      <x:c r="E105" s="9" t="str">
        <x:v>R/GA</x:v>
      </x:c>
      <x:c r="F105" s="9" t="str">
        <x:v>Director, Creative Technology (AI &amp; Innovation)</x:v>
      </x:c>
      <x:c r="G105" s="9" t="str">
        <x:v>New York / San Francisco / US remote</x:v>
      </x:c>
      <x:c r="H105" s="7"/>
      <x:c r="I105" s="9" t="str">
        <x:v>unknown</x:v>
      </x:c>
      <x:c r="J105" s="9" t="str">
        <x:v>closed</x:v>
      </x:c>
      <x:c r="K105" s="8" t="n">
        <x:v>0</x:v>
      </x:c>
      <x:c r="L105" s="8" t="n">
        <x:v>1</x:v>
      </x:c>
      <x:c r="M105" s="8" t="n">
        <x:v>0</x:v>
      </x:c>
      <x:c r="N105" s="9" t="str">
        <x:v>3 - full JD mirror</x:v>
      </x:c>
      <x:c r="O105" s="9" t="str">
        <x:v>Model Proficiency: Expert-level knowledge of LLMs (Anthropic, Gemini, OpenAI) and generative media frameworks (Runway, Kling, Suno/Udio).</x:v>
      </x:c>
      <x:c r="P105" s="9" t="str">
        <x:v>https://builtin.com/job/director-creative-technology-ai-innovation/8813994</x:v>
      </x:c>
      <x:c r="Q105" s="9" t="str"/>
      <x:c r="R105" s="9" t="str">
        <x:v>https://builtin.com/job/director-creative-technology-ai-innovation/8813994</x:v>
      </x:c>
      <x:c r="S105" s="9" t="str">
        <x:v>Removed 2026-04-08; original publication and ATS ID unknown. Full employer JD inspected.</x:v>
      </x:c>
      <x:c r="T105" s="9" t="str">
        <x:v>yes</x:v>
      </x:c>
      <x:c r="U105" s="9" t="str">
        <x:v>builtin-8813994</x:v>
      </x:c>
    </x:row>
    <x:row r="106" ht="66" customHeight="1">
      <x:c r="A106" s="2" t="str">
        <x:v>J105</x:v>
      </x:c>
      <x:c r="B106" s="2" t="str">
        <x:v>A18</x:v>
      </x:c>
      <x:c r="C106" s="9" t="str">
        <x:v>R/GA</x:v>
      </x:c>
      <x:c r="D106" s="2" t="str">
        <x:v>Агентства</x:v>
      </x:c>
      <x:c r="E106" s="9" t="str">
        <x:v>Addition / R/GA</x:v>
      </x:c>
      <x:c r="F106" s="9" t="str">
        <x:v>Design Director</x:v>
      </x:c>
      <x:c r="G106" s="9" t="str">
        <x:v>New York, United States</x:v>
      </x:c>
      <x:c r="H106" s="7"/>
      <x:c r="I106" s="9" t="str">
        <x:v>unknown</x:v>
      </x:c>
      <x:c r="J106" s="9" t="str">
        <x:v>closed</x:v>
      </x:c>
      <x:c r="K106" s="8" t="n">
        <x:v>0</x:v>
      </x:c>
      <x:c r="L106" s="8" t="n">
        <x:v>1</x:v>
      </x:c>
      <x:c r="M106" s="8" t="n">
        <x:v>0</x:v>
      </x:c>
      <x:c r="N106" s="9" t="str">
        <x:v>3 - full JD mirror</x:v>
      </x:c>
      <x:c r="O106" s="9" t="str">
        <x:v>Champion the exploration and integration of cutting-edge generative image, video, and animation tools (e.g., Runway, Sora, Veo, Pika, Midjourney).</x:v>
      </x:c>
      <x:c r="P106" s="9" t="str">
        <x:v>https://www.builtinnyc.com/job/design-director/7656603</x:v>
      </x:c>
      <x:c r="Q106" s="9" t="str"/>
      <x:c r="R106" s="9" t="str">
        <x:v>https://rga.com/</x:v>
      </x:c>
      <x:c r="S106" s="9" t="str">
        <x:v>Removed 2026-01-08. Addition creative studio role listed under R/GA. Original ATS ID unknown.</x:v>
      </x:c>
      <x:c r="T106" s="9" t="str">
        <x:v>yes</x:v>
      </x:c>
      <x:c r="U106" s="9" t="str">
        <x:v>builtin-7656603</x:v>
      </x:c>
    </x:row>
    <x:row r="107" ht="66" customHeight="1">
      <x:c r="A107" s="2" t="str">
        <x:v>J106</x:v>
      </x:c>
      <x:c r="B107" s="2" t="str">
        <x:v>A18</x:v>
      </x:c>
      <x:c r="C107" s="9" t="str">
        <x:v>R/GA</x:v>
      </x:c>
      <x:c r="D107" s="2" t="str">
        <x:v>Агентства</x:v>
      </x:c>
      <x:c r="E107" s="9" t="str">
        <x:v>R/GA</x:v>
      </x:c>
      <x:c r="F107" s="9" t="str">
        <x:v>Video Editor</x:v>
      </x:c>
      <x:c r="G107" s="9" t="str">
        <x:v>Buenos Aires, Argentina</x:v>
      </x:c>
      <x:c r="H107" s="7" t="n">
        <x:v>46216</x:v>
      </x:c>
      <x:c r="I107" s="9" t="str">
        <x:v>2026-07-13</x:v>
      </x:c>
      <x:c r="J107" s="9" t="str">
        <x:v>historical_status_unknown</x:v>
      </x:c>
      <x:c r="K107" s="8" t="n">
        <x:v>0</x:v>
      </x:c>
      <x:c r="L107" s="8" t="n">
        <x:v>1</x:v>
      </x:c>
      <x:c r="M107" s="8" t="n">
        <x:v>0</x:v>
      </x:c>
      <x:c r="N107" s="9" t="str">
        <x:v>1 - official careers</x:v>
      </x:c>
      <x:c r="O107" s="9" t="str">
        <x:v>Collaborate with motion designers, AI artists, and creative technologists on emerging workflows (Runway, Kling, Gemini Omni, Magnific, etc.)</x:v>
      </x:c>
      <x:c r="P107" s="9" t="str">
        <x:v>https://www.rga.com/careers/8059875?gh_jid=8059875</x:v>
      </x:c>
      <x:c r="Q107" s="9" t="str">
        <x:v>https://growthroles.com/jobs/rga-video-editor-buenos-aires-c64ae5217bc60075</x:v>
      </x:c>
      <x:c r="R107" s="9" t="str">
        <x:v>https://www.rga.com/careers/8059875?gh_jid=8059875</x:v>
      </x:c>
      <x:c r="S107" s="9" t="str">
        <x:v>Official full JD read; absent from current board. Mirror may retain old open status.</x:v>
      </x:c>
      <x:c r="T107" s="9" t="str">
        <x:v>yes</x:v>
      </x:c>
      <x:c r="U107" s="9" t="str">
        <x:v>8059875</x:v>
      </x:c>
    </x:row>
    <x:row r="108" ht="66" customHeight="1">
      <x:c r="A108" s="2" t="str">
        <x:v>J107</x:v>
      </x:c>
      <x:c r="B108" s="2" t="str">
        <x:v>A18</x:v>
      </x:c>
      <x:c r="C108" s="9" t="str">
        <x:v>R/GA</x:v>
      </x:c>
      <x:c r="D108" s="2" t="str">
        <x:v>Агентства</x:v>
      </x:c>
      <x:c r="E108" s="9" t="str">
        <x:v>R/GA</x:v>
      </x:c>
      <x:c r="F108" s="9" t="str">
        <x:v>Senior Video Editor</x:v>
      </x:c>
      <x:c r="G108" s="9" t="str">
        <x:v>Buenos Aires, Argentina</x:v>
      </x:c>
      <x:c r="H108" s="7" t="n">
        <x:v>46216</x:v>
      </x:c>
      <x:c r="I108" s="9" t="str">
        <x:v>2026-07-13</x:v>
      </x:c>
      <x:c r="J108" s="9" t="str">
        <x:v>historical_status_unknown</x:v>
      </x:c>
      <x:c r="K108" s="8" t="n">
        <x:v>0</x:v>
      </x:c>
      <x:c r="L108" s="8" t="n">
        <x:v>1</x:v>
      </x:c>
      <x:c r="M108" s="8" t="n">
        <x:v>0</x:v>
      </x:c>
      <x:c r="N108" s="9" t="str">
        <x:v>3 - full JD mirror</x:v>
      </x:c>
      <x:c r="O108" s="9" t="str">
        <x:v>Genuine interest in AI tools and fluency with emerging platforms (Runway, Kling, Veo, Magnific, etc.)</x:v>
      </x:c>
      <x:c r="P108" s="9" t="str">
        <x:v>https://growthroles.com/jobs/rga-senior-video-editor-buenos-aires-d8cc907a2778ec53</x:v>
      </x:c>
      <x:c r="Q108" s="9" t="str">
        <x:v>https://creativetechgigs.com/jobs/rga-senior-video-editor-1h9f5i | https://cazvid.com/es/empleo/senior-video-editor-0b84fbfe</x:v>
      </x:c>
      <x:c r="R108" s="9" t="str">
        <x:v>https://growthroles.com/jobs/rga-senior-video-editor-buenos-aires-d8cc907a2778ec53</x:v>
      </x:c>
      <x:c r="S108" s="9" t="str">
        <x:v>Full employer-text section independently corroborated by matching Senior Video Editor description and Buenos Aires location on Creative Tech Gigs and CazVid. Original requisition unavailable; exact original publication date unknown.</x:v>
      </x:c>
      <x:c r="T108" s="9" t="str">
        <x:v>yes</x:v>
      </x:c>
      <x:c r="U108" s="9" t="str">
        <x:v>growthroles-d8cc907a2778ec53</x:v>
      </x:c>
    </x:row>
    <x:row r="109" ht="66" customHeight="1">
      <x:c r="A109" s="2" t="str">
        <x:v>J108</x:v>
      </x:c>
      <x:c r="B109" s="2" t="str">
        <x:v>A19</x:v>
      </x:c>
      <x:c r="C109" s="9" t="str">
        <x:v>Artefact 3000</x:v>
      </x:c>
      <x:c r="D109" s="2" t="str">
        <x:v>Агентства</x:v>
      </x:c>
      <x:c r="E109" s="9" t="str">
        <x:v>Artefact 3000</x:v>
      </x:c>
      <x:c r="F109" s="9" t="str">
        <x:v>Creative AI Specialist (H/F)</x:v>
      </x:c>
      <x:c r="G109" s="9" t="str">
        <x:v>Paris, France</x:v>
      </x:c>
      <x:c r="H109" s="7" t="n">
        <x:v>46154</x:v>
      </x:c>
      <x:c r="I109" s="9" t="str">
        <x:v>2026-05-12</x:v>
      </x:c>
      <x:c r="J109" s="9" t="str">
        <x:v>closed</x:v>
      </x:c>
      <x:c r="K109" s="8" t="n">
        <x:v>0</x:v>
      </x:c>
      <x:c r="L109" s="8" t="n">
        <x:v>1</x:v>
      </x:c>
      <x:c r="M109" s="8" t="n">
        <x:v>1</x:v>
      </x:c>
      <x:c r="N109" s="9" t="str">
        <x:v>2 - employer job board</x:v>
      </x:c>
      <x:c r="O109" s="9" t="str">
        <x:v>génération d’images (Google, Midjourney, Adobe Firefly, Flux, Reve …), génération vidéo (Runway, Kling, Seedance, Wan, Minimax …)</x:v>
      </x:c>
      <x:c r="P109" s="9" t="str">
        <x:v>https://www.welcometothejungle.com/fr/companies/artefact/jobs/genai-specialist-studio-artefact-3000_paris</x:v>
      </x:c>
      <x:c r="Q109" s="9" t="str"/>
      <x:c r="R109" s="9" t="str">
        <x:v>https://www.welcometothejungle.com/fr/companies/artefact/jobs/genai-specialist-studio-artefact-3000_paris</x:v>
      </x:c>
      <x:c r="S109" s="9" t="str">
        <x:v>Full JD inspected; explicitly unavailable. Distinct from AI Designer Motion &amp; Generative role.</x:v>
      </x:c>
      <x:c r="T109" s="9" t="str">
        <x:v>yes</x:v>
      </x:c>
      <x:c r="U109" s="9" t="str">
        <x:v>wttj-genai-specialist-studio-artefact-3000</x:v>
      </x:c>
    </x:row>
  </x:sheetData>
  <x:conditionalFormatting sqref="K2:M109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8a2d87d305406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31" hidden="0" customWidth="1"/>
    <x:col min="4" max="4" width="22" hidden="0" customWidth="1"/>
    <x:col min="5" max="5" width="35" hidden="0" customWidth="1"/>
    <x:col min="6" max="6" width="55" hidden="0" customWidth="1"/>
    <x:col min="7" max="7" width="28" hidden="0" customWidth="1"/>
    <x:col min="8" max="8" width="18" hidden="0" customWidth="1"/>
    <x:col min="9" max="9" width="35" hidden="0" customWidth="1"/>
    <x:col min="10" max="10" width="34" hidden="0" customWidth="1"/>
    <x:col min="11" max="11" width="14" hidden="0" customWidth="1"/>
    <x:col min="12" max="12" width="12" hidden="0" customWidth="1"/>
    <x:col min="13" max="13" width="16" hidden="0" customWidth="1"/>
    <x:col min="14" max="14" width="24" hidden="0" customWidth="1"/>
    <x:col min="15" max="15" width="70" hidden="0" customWidth="1"/>
    <x:col min="16" max="16" width="90" hidden="0" customWidth="1"/>
    <x:col min="17" max="17" width="75" hidden="0" customWidth="1"/>
    <x:col min="18" max="18" width="80" hidden="0" customWidth="1"/>
    <x:col min="19" max="19" width="80" hidden="0" customWidth="1"/>
    <x:col min="20" max="20" width="24" hidden="0" customWidth="1"/>
    <x:col min="21" max="21" width="32" hidden="0" customWidth="1"/>
  </x:cols>
  <x:sheetData>
    <x:row r="1" ht="36" customHeight="1">
      <x:c r="A1" s="6" t="str">
        <x:v>ID записи</x:v>
      </x:c>
      <x:c r="B1" s="6" t="str">
        <x:v>ID компании</x:v>
      </x:c>
      <x:c r="C1" s="6" t="str">
        <x:v>Единица выборки</x:v>
      </x:c>
      <x:c r="D1" s="6" t="str">
        <x:v>Группа</x:v>
      </x:c>
      <x:c r="E1" s="6" t="str">
        <x:v>Работодатель в объявлении</x:v>
      </x:c>
      <x:c r="F1" s="6" t="str">
        <x:v>Вакансия</x:v>
      </x:c>
      <x:c r="G1" s="6" t="str">
        <x:v>Место</x:v>
      </x:c>
      <x:c r="H1" s="6" t="str">
        <x:v>Дата публикации</x:v>
      </x:c>
      <x:c r="I1" s="6" t="str">
        <x:v>Что известно о дате</x:v>
      </x:c>
      <x:c r="J1" s="6" t="str">
        <x:v>Статус объявления</x:v>
      </x:c>
      <x:c r="K1" s="6" t="str">
        <x:v>Higgsfield</x:v>
      </x:c>
      <x:c r="L1" s="6" t="str">
        <x:v>Runway</x:v>
      </x:c>
      <x:c r="M1" s="6" t="str">
        <x:v>Adobe Firefly</x:v>
      </x:c>
      <x:c r="N1" s="6" t="str">
        <x:v>Тип источника</x:v>
      </x:c>
      <x:c r="O1" s="6" t="str">
        <x:v>Короткий фрагмент</x:v>
      </x:c>
      <x:c r="P1" s="6" t="str">
        <x:v>Источник</x:v>
      </x:c>
      <x:c r="Q1" s="6" t="str">
        <x:v>Другие ссылки</x:v>
      </x:c>
      <x:c r="R1" s="6" t="str">
        <x:v>Связь с сетью</x:v>
      </x:c>
      <x:c r="S1" s="6" t="str">
        <x:v>Примечание</x:v>
      </x:c>
      <x:c r="T1" s="6" t="str">
        <x:v>Решение</x:v>
      </x:c>
      <x:c r="U1" s="6" t="str">
        <x:v>Номер вакансии</x:v>
      </x:c>
    </x:row>
    <x:row r="2" ht="66" customHeight="1">
      <x:c r="A2" s="2" t="str">
        <x:v>S001</x:v>
      </x:c>
      <x:c r="B2" s="2" t="str">
        <x:v>C01</x:v>
      </x:c>
      <x:c r="C2" s="9" t="str">
        <x:v>Nestlé</x:v>
      </x:c>
      <x:c r="D2" s="2" t="str">
        <x:v>CPG/FMCG/beauty</x:v>
      </x:c>
      <x:c r="E2" s="9" t="str">
        <x:v>Nestlé R&amp;D</x:v>
      </x:c>
      <x:c r="F2" s="9" t="str">
        <x:v>Nestlé R&amp;D - Graphic Design Internship</x:v>
      </x:c>
      <x:c r="G2" s="9" t="str">
        <x:v>Remote, USA</x:v>
      </x:c>
      <x:c r="H2" s="7" t="n">
        <x:v>46088</x:v>
      </x:c>
      <x:c r="I2" s="9" t="str">
        <x:v>2026-03-07</x:v>
      </x:c>
      <x:c r="J2" s="9" t="str">
        <x:v>unknown</x:v>
      </x:c>
      <x:c r="K2" s="8" t="n">
        <x:v>0</x:v>
      </x:c>
      <x:c r="L2" s="8" t="n">
        <x:v>0</x:v>
      </x:c>
      <x:c r="M2" s="8" t="n">
        <x:v>1</x:v>
      </x:c>
      <x:c r="N2" s="9" t="str">
        <x:v>C - complete secondary mirror</x:v>
      </x:c>
      <x:c r="O2" s="9" t="str">
        <x:v>Experience with Adobe firefly and AI image generation</x:v>
      </x:c>
      <x:c r="P2" s="9" t="str">
        <x:v>https://jobdetails.nestle.com/job/Arlington-Nestl%25C3%25A9-R%26D-Graphic-Design-Internship-VA-22209/1293439501/</x:v>
      </x:c>
      <x:c r="Q2" s="9" t="str">
        <x:v>https://remoteforge.site/job/nestl-rd-graphic-design-internship-nestl-rd-graphic-design-internship</x:v>
      </x:c>
      <x:c r="R2" s="9" t="str"/>
      <x:c r="S2" s="9" t="str">
        <x:v>Excluded from conservative headline solely for lower source provenance; complete relevant JD text is available. Low-provenance mirror; matching employer ATS page resolved to unavailable shell. April–December 2026 assignment. Count as full-JD mirror evidence only.</x:v>
      </x:c>
      <x:c r="T2" s="9" t="str">
        <x:v>no</x:v>
      </x:c>
      <x:c r="U2" s="9" t="str">
        <x:v>ATS-page:1293439501</x:v>
      </x:c>
    </x:row>
    <x:row r="3" ht="66" customHeight="1">
      <x:c r="A3" s="2" t="str">
        <x:v>S002</x:v>
      </x:c>
      <x:c r="B3" s="2" t="str">
        <x:v>C05</x:v>
      </x:c>
      <x:c r="C3" s="9" t="str">
        <x:v>Coca-Cola</x:v>
      </x:c>
      <x:c r="D3" s="2" t="str">
        <x:v>CPG/FMCG/beauty</x:v>
      </x:c>
      <x:c r="E3" s="9" t="str">
        <x:v>The Coca-Cola Company</x:v>
      </x:c>
      <x:c r="F3" s="9" t="str">
        <x:v>Creative Technologist Senior Manager</x:v>
      </x:c>
      <x:c r="G3" s="9" t="str">
        <x:v>Atlanta, GA, USA</x:v>
      </x:c>
      <x:c r="H3" s="7"/>
      <x:c r="I3" s="9" t="str">
        <x:v>unknown</x:v>
      </x:c>
      <x:c r="J3" s="9" t="str">
        <x:v>unknown</x:v>
      </x:c>
      <x:c r="K3" s="8" t="n">
        <x:v>0</x:v>
      </x:c>
      <x:c r="L3" s="8" t="n">
        <x:v>0</x:v>
      </x:c>
      <x:c r="M3" s="8" t="n">
        <x:v>1</x:v>
      </x:c>
      <x:c r="N3" s="9" t="str">
        <x:v>C - complete secondary mirror</x:v>
      </x:c>
      <x:c r="O3" s="9" t="str">
        <x:v>Proficiency with Adobe Creative Cloud, Adobe Firefly, GenStudio, and other generative AI platforms.</x:v>
      </x:c>
      <x:c r="P3" s="9" t="str">
        <x:v>https://jobpromax.com/jobs/creative_technologist_senior_manager_334313</x:v>
      </x:c>
      <x:c r="Q3" s="9" t="str"/>
      <x:c r="R3" s="9" t="str"/>
      <x:c r="S3" s="9" t="str">
        <x:v>Excluded from conservative headline solely for lower source provenance; complete relevant JD text is available. Distinct style-ID/model-training role (4+ years); wrong generic Office Manager category on mirror. Title independently indexed on SalaryGuide; original requisition/date unavailable.</x:v>
      </x:c>
      <x:c r="T3" s="9" t="str">
        <x:v>no</x:v>
      </x:c>
      <x:c r="U3" s="9" t="str">
        <x:v>JobProMax:334313</x:v>
      </x:c>
    </x:row>
    <x:row r="4" ht="66" customHeight="1">
      <x:c r="A4" s="2" t="str">
        <x:v>S003</x:v>
      </x:c>
      <x:c r="B4" s="2" t="str">
        <x:v>A01</x:v>
      </x:c>
      <x:c r="C4" s="9" t="str">
        <x:v>Ogilvy</x:v>
      </x:c>
      <x:c r="D4" s="2" t="str">
        <x:v>Агентства</x:v>
      </x:c>
      <x:c r="E4" s="9" t="str">
        <x:v>Ogilvy MENA</x:v>
      </x:c>
      <x:c r="F4" s="9" t="str">
        <x:v>Motion Graphic Designer</x:v>
      </x:c>
      <x:c r="G4" s="9" t="str">
        <x:v>Beirut, Lebanon</x:v>
      </x:c>
      <x:c r="H4" s="7"/>
      <x:c r="I4" s="9" t="str">
        <x:v>unknown</x:v>
      </x:c>
      <x:c r="J4" s="9" t="str">
        <x:v>mirror; current opening unconfirmed</x:v>
      </x:c>
      <x:c r="K4" s="8" t="n">
        <x:v>0</x:v>
      </x:c>
      <x:c r="L4" s="8" t="n">
        <x:v>1</x:v>
      </x:c>
      <x:c r="M4" s="8" t="n">
        <x:v>0</x:v>
      </x:c>
      <x:c r="N4" s="9" t="str">
        <x:v>job_board_mirror</x:v>
      </x:c>
      <x:c r="O4" s="9" t="str">
        <x:v>Use AI video-generation tools (e.g., Mid journey, Veo, Runway...) and craft effective AI prompts to create or enhance video scenes.</x:v>
      </x:c>
      <x:c r="P4" s="9" t="str">
        <x:v>https://lb.trabajo.org/offre-4069-5b8309856e5fe8d69223b07f76287695</x:v>
      </x:c>
      <x:c r="Q4" s="9" t="str"/>
      <x:c r="R4" s="9" t="str"/>
      <x:c r="S4" s="9" t="str">
        <x:v>Full description retrieved but only one low-provenance host, with no original requisition or independent corroboration verified. Conservative exclusion.</x:v>
      </x:c>
      <x:c r="T4" s="9" t="str">
        <x:v>supplemental_low_provenance</x:v>
      </x:c>
      <x:c r="U4" s="9" t="str">
        <x:v>Trabajo 5b8309856e5fe8d69223b07f76287695</x:v>
      </x:c>
    </x:row>
    <x:row r="5" ht="66" customHeight="1">
      <x:c r="A5" s="2" t="str">
        <x:v>S004</x:v>
      </x:c>
      <x:c r="B5" s="2" t="str">
        <x:v>A07</x:v>
      </x:c>
      <x:c r="C5" s="9" t="str">
        <x:v>McCann</x:v>
      </x:c>
      <x:c r="D5" s="2" t="str">
        <x:v>Агентства</x:v>
      </x:c>
      <x:c r="E5" s="9" t="str">
        <x:v>McCann Lima</x:v>
      </x:c>
      <x:c r="F5" s="9" t="str">
        <x:v>Diseñador Gráfico Jr</x:v>
      </x:c>
      <x:c r="G5" s="9" t="str">
        <x:v>Miraflores, Lima, Peru</x:v>
      </x:c>
      <x:c r="H5" s="7"/>
      <x:c r="I5" s="9" t="str">
        <x:v>unknown</x:v>
      </x:c>
      <x:c r="J5" s="9" t="str">
        <x:v>mirror; opening status unconfirmed</x:v>
      </x:c>
      <x:c r="K5" s="8" t="n">
        <x:v>0</x:v>
      </x:c>
      <x:c r="L5" s="8" t="n">
        <x:v>0</x:v>
      </x:c>
      <x:c r="M5" s="8" t="n">
        <x:v>1</x:v>
      </x:c>
      <x:c r="N5" s="9" t="str">
        <x:v>job_board_mirror</x:v>
      </x:c>
      <x:c r="O5" s="9" t="str">
        <x:v>Conocimientos básicos de IA aplicada al diseño (Adobe Firefly, Midjourney o similares) serán valorados</x:v>
      </x:c>
      <x:c r="P5" s="9" t="str">
        <x:v>https://bebee.com/pe/jobs/disenador-grafico-jr-mccann-lima-miraflores-lima--t7xk-783807428</x:v>
      </x:c>
      <x:c r="Q5" s="9" t="str"/>
      <x:c r="R5" s="9" t="str"/>
      <x:c r="S5" s="9" t="str">
        <x:v>Full description retrieved but only one low-provenance host, with no original requisition or independent corroboration verified. Conservative exclusion.</x:v>
      </x:c>
      <x:c r="T5" s="9" t="str">
        <x:v>supplemental_low_provenance</x:v>
      </x:c>
      <x:c r="U5" s="9" t="str">
        <x:v>BeBee t7xk-783807428</x:v>
      </x:c>
    </x:row>
    <x:row r="6" ht="66" customHeight="1">
      <x:c r="A6" s="2" t="str">
        <x:v>S005</x:v>
      </x:c>
      <x:c r="B6" s="2" t="str">
        <x:v>A08</x:v>
      </x:c>
      <x:c r="C6" s="9" t="str">
        <x:v>FCB</x:v>
      </x:c>
      <x:c r="D6" s="2" t="str">
        <x:v>Агентства</x:v>
      </x:c>
      <x:c r="E6" s="9" t="str">
        <x:v>FCB Health Spark</x:v>
      </x:c>
      <x:c r="F6" s="9" t="str">
        <x:v>Digital Designer</x:v>
      </x:c>
      <x:c r="G6" s="9" t="str"/>
      <x:c r="H6" s="7"/>
      <x:c r="I6" s="9" t="str">
        <x:v>Дата не установлена</x:v>
      </x:c>
      <x:c r="J6" s="9" t="str"/>
      <x:c r="K6" s="8" t="n">
        <x:v>0</x:v>
      </x:c>
      <x:c r="L6" s="8" t="n">
        <x:v>0</x:v>
      </x:c>
      <x:c r="M6" s="8" t="n">
        <x:v>1</x:v>
      </x:c>
      <x:c r="N6" s="9" t="str">
        <x:v>verified_full_text</x:v>
      </x:c>
      <x:c r="O6" s="9" t="str">
        <x:v>Wykorzystywanie Adobe Firefly, zasobów brandowych i zdjęć stockowych do tworzenia aktualnych, atrakcyjnych treści.</x:v>
      </x:c>
      <x:c r="P6" s="9" t="str">
        <x:v>https://www.pracuj.pl/praca/digital-designer-warszawa-aleje-jerozolimskie-134,oferta,1004410576</x:v>
      </x:c>
      <x:c r="Q6" s="9" t="str"/>
      <x:c r="R6" s="9" t="str"/>
      <x:c r="S6" s="9" t="str">
        <x:v>Explicit IPG Health Associate Company, distinct from controlled FCB sample; historical expired listing</x:v>
      </x:c>
      <x:c r="T6" s="9" t="str">
        <x:v>no</x:v>
      </x:c>
      <x:c r="U6" s="9" t="str">
        <x:v>Pracuj 1004410576</x:v>
      </x:c>
    </x:row>
    <x:row r="7" ht="66" customHeight="1">
      <x:c r="A7" s="2" t="str">
        <x:v>S006</x:v>
      </x:c>
      <x:c r="B7" s="2" t="str">
        <x:v>A06</x:v>
      </x:c>
      <x:c r="C7" s="9" t="str">
        <x:v>TBWA</x:v>
      </x:c>
      <x:c r="D7" s="2" t="str">
        <x:v>Агентства</x:v>
      </x:c>
      <x:c r="E7" s="9" t="str">
        <x:v>TBWA HAKUHODO</x:v>
      </x:c>
      <x:c r="F7" s="9" t="str">
        <x:v>AI Producer</x:v>
      </x:c>
      <x:c r="G7" s="9" t="str"/>
      <x:c r="H7" s="7"/>
      <x:c r="I7" s="9" t="str">
        <x:v>Дата не установлена</x:v>
      </x:c>
      <x:c r="J7" s="9" t="str"/>
      <x:c r="K7" s="8" t="n">
        <x:v>0</x:v>
      </x:c>
      <x:c r="L7" s="8" t="n">
        <x:v>1</x:v>
      </x:c>
      <x:c r="M7" s="8" t="n">
        <x:v>0</x:v>
      </x:c>
      <x:c r="N7" s="9" t="str">
        <x:v>verified_full_text</x:v>
      </x:c>
      <x:c r="O7" s="9" t="str">
        <x:v>生成AI（画像／動画生成ツール、例：Stable Diffusion、Runway、Sora、Pika、Midjourney、D-IDなど）を業務、プロジェクトで活用した経験</x:v>
      </x:c>
      <x:c r="P7" s="9" t="str">
        <x:v>https://hrmos.co/pages/tbwahakuhodo-recruit/jobs/CREATIVE005</x:v>
      </x:c>
      <x:c r="Q7" s="9" t="str"/>
      <x:c r="R7" s="9" t="str"/>
      <x:c r="S7" s="9" t="str">
        <x:v>TBWA minority 40% JV, Hakuhodo 60%; excluded strict controlled set; https://www.tbwahakuhodo.co.jp/company/</x:v>
      </x:c>
      <x:c r="T7" s="9" t="str">
        <x:v>no</x:v>
      </x:c>
      <x:c r="U7" s="9" t="str">
        <x:v>CREATIVE005</x:v>
      </x:c>
    </x:row>
    <x:row r="8" ht="66" customHeight="1">
      <x:c r="A8" s="2" t="str">
        <x:v>S007</x:v>
      </x:c>
      <x:c r="B8" s="2" t="str">
        <x:v>A06</x:v>
      </x:c>
      <x:c r="C8" s="9" t="str">
        <x:v>TBWA</x:v>
      </x:c>
      <x:c r="D8" s="2" t="str">
        <x:v>Агентства</x:v>
      </x:c>
      <x:c r="E8" s="9" t="str">
        <x:v>MOGUL</x:v>
      </x:c>
      <x:c r="F8" s="9" t="str">
        <x:v>Art Directors / Creative Makers / AI Artists freelance pool</x:v>
      </x:c>
      <x:c r="G8" s="9" t="str"/>
      <x:c r="H8" s="7"/>
      <x:c r="I8" s="9" t="str">
        <x:v>Дата не установлена</x:v>
      </x:c>
      <x:c r="J8" s="9" t="str"/>
      <x:c r="K8" s="8" t="n">
        <x:v>1</x:v>
      </x:c>
      <x:c r="L8" s="8" t="n">
        <x:v>1</x:v>
      </x:c>
      <x:c r="M8" s="8" t="n">
        <x:v>0</x:v>
      </x:c>
      <x:c r="N8" s="9" t="str">
        <x:v>verified_full_text</x:v>
      </x:c>
      <x:c r="O8" s="9" t="str">
        <x:v>Sora 2, VEO3, Kling, Higgsfield, Runway, Pika, Nano B</x:v>
      </x:c>
      <x:c r="P8" s="9" t="str">
        <x:v>https://fr.linkedin.com/posts/julien-averty-0aaa972b_alerte-r%C3%A9seau-on-acc%C3%A9l%C3%A8re-chez-mogul-sur-activity-7381230054866964480-8am2</x:v>
      </x:c>
      <x:c r="Q8" s="9" t="str"/>
      <x:c r="R8" s="9" t="str"/>
      <x:c r="S8" s="9" t="str">
        <x:v>General recurring freelancer pool, not comparable single vacancy; employer/team MOGUL creating content for TBWA brands</x:v>
      </x:c>
      <x:c r="T8" s="9" t="str">
        <x:v>no</x:v>
      </x:c>
      <x:c r="U8" s="9" t="str">
        <x:v>LinkedIn activity 7381230054866964480</x:v>
      </x:c>
    </x:row>
    <x:row r="9" ht="66" customHeight="1">
      <x:c r="A9" s="2" t="str">
        <x:v>S008</x:v>
      </x:c>
      <x:c r="B9" s="2" t="str">
        <x:v>A02</x:v>
      </x:c>
      <x:c r="C9" s="9" t="str">
        <x:v>VML</x:v>
      </x:c>
      <x:c r="D9" s="2" t="str">
        <x:v>Агентства</x:v>
      </x:c>
      <x:c r="E9" s="9" t="str">
        <x:v>VML</x:v>
      </x:c>
      <x:c r="F9" s="9" t="str">
        <x:v>Graphic Designer</x:v>
      </x:c>
      <x:c r="G9" s="9" t="str"/>
      <x:c r="H9" s="7"/>
      <x:c r="I9" s="9" t="str">
        <x:v>Дата не установлена</x:v>
      </x:c>
      <x:c r="J9" s="9" t="str"/>
      <x:c r="K9" s="8" t="n">
        <x:v>0</x:v>
      </x:c>
      <x:c r="L9" s="8" t="n">
        <x:v>1</x:v>
      </x:c>
      <x:c r="M9" s="8" t="n">
        <x:v>1</x:v>
      </x:c>
      <x:c r="N9" s="9" t="str">
        <x:v>unverified_index_only</x:v>
      </x:c>
      <x:c r="O9" s="9" t="str">
        <x:v>Familiarity with AI-powered design tools (e.g., Adobe Firefly, Midjourney, RunwayML, etc.) is a strong advantage.</x:v>
      </x:c>
      <x:c r="P9" s="9" t="str">
        <x:v>https://www.vml.com/careers/job/8003378002-lb-graphic-designer</x:v>
      </x:c>
      <x:c r="Q9" s="9" t="str"/>
      <x:c r="R9" s="9" t="str"/>
      <x:c r="S9" s="9" t="str">
        <x:v>Beirut; indexed full JD found, direct URL errors in web and Exa; conservatively excluded until page retrieval verified</x:v>
      </x:c>
      <x:c r="T9" s="9" t="str">
        <x:v>no</x:v>
      </x:c>
      <x:c r="U9" s="9" t="str">
        <x:v>VML 10379; Greenhouse 8003378002</x:v>
      </x:c>
    </x:row>
    <x:row r="10" ht="66" customHeight="1">
      <x:c r="A10" s="2" t="str">
        <x:v>S009</x:v>
      </x:c>
      <x:c r="B10" s="2" t="str">
        <x:v>A02</x:v>
      </x:c>
      <x:c r="C10" s="9" t="str">
        <x:v>VML</x:v>
      </x:c>
      <x:c r="D10" s="2" t="str">
        <x:v>Агентства</x:v>
      </x:c>
      <x:c r="E10" s="9" t="str">
        <x:v>VML Enterprise Solutions</x:v>
      </x:c>
      <x:c r="F10" s="9" t="str">
        <x:v>FireFly - AI Engagement Manager / Firefly FDE AI</x:v>
      </x:c>
      <x:c r="G10" s="9" t="str"/>
      <x:c r="H10" s="7"/>
      <x:c r="I10" s="9" t="str">
        <x:v>Дата не установлена</x:v>
      </x:c>
      <x:c r="J10" s="9" t="str"/>
      <x:c r="K10" s="8" t="n">
        <x:v>0</x:v>
      </x:c>
      <x:c r="L10" s="8" t="n">
        <x:v>0</x:v>
      </x:c>
      <x:c r="M10" s="8" t="n">
        <x:v>1</x:v>
      </x:c>
      <x:c r="N10" s="9" t="str">
        <x:v>verified_full_text</x:v>
      </x:c>
      <x:c r="O10" s="9" t="str">
        <x:v>Deep understanding of Adobe Creative Cloud APIs/SDK/CEP, Firefly Services APIs, and Adobe Experience Cloud integrations</x:v>
      </x:c>
      <x:c r="P10" s="9" t="str">
        <x:v>https://www.vml.com/careers/job/8707317002-in-fire-fly-ai-engagement-manager</x:v>
      </x:c>
      <x:c r="Q10" s="9" t="str"/>
      <x:c r="R10" s="9" t="str"/>
      <x:c r="S10" s="9" t="str">
        <x:v>Full-stack applications/technical consulting role excluded creative-production set; role alias LinkedIn 4461864348</x:v>
      </x:c>
      <x:c r="T10" s="9" t="str">
        <x:v>no</x:v>
      </x:c>
      <x:c r="U10" s="9" t="str">
        <x:v>VML 17800; Greenhouse 8707317002</x:v>
      </x:c>
    </x:row>
    <x:row r="11" ht="66" customHeight="1">
      <x:c r="A11" s="2" t="str">
        <x:v>S010</x:v>
      </x:c>
      <x:c r="B11" s="2" t="str">
        <x:v>A06</x:v>
      </x:c>
      <x:c r="C11" s="9" t="str">
        <x:v>TBWA</x:v>
      </x:c>
      <x:c r="D11" s="2" t="str">
        <x:v>Агентства</x:v>
      </x:c>
      <x:c r="E11" s="9" t="str">
        <x:v>TBWA Canada</x:v>
      </x:c>
      <x:c r="F11" s="9" t="str">
        <x:v>Director, AI Operations</x:v>
      </x:c>
      <x:c r="G11" s="9" t="str"/>
      <x:c r="H11" s="7"/>
      <x:c r="I11" s="9" t="str">
        <x:v>Дата не установлена</x:v>
      </x:c>
      <x:c r="J11" s="9" t="str"/>
      <x:c r="K11" s="8" t="n">
        <x:v>0</x:v>
      </x:c>
      <x:c r="L11" s="8" t="n">
        <x:v>0</x:v>
      </x:c>
      <x:c r="M11" s="8" t="n">
        <x:v>1</x:v>
      </x:c>
      <x:c r="N11" s="9" t="str">
        <x:v>verified_full_text</x:v>
      </x:c>
      <x:c r="O11" s="9" t="str">
        <x:v>Practical experience using or implementing generative AI tools and platforms such as ChatGPT, Claude, Gemini, Microsoft Copilot, Adobe Firefly</x:v>
      </x:c>
      <x:c r="P11" s="9" t="str">
        <x:v>https://ca.linkedin.com/jobs/view/director-ai-operations-at-tbwa-canada-4474531854</x:v>
      </x:c>
      <x:c r="Q11" s="9" t="str"/>
      <x:c r="R11" s="9" t="str"/>
      <x:c r="S11" s="9" t="str">
        <x:v>Agency-wide AI operations; excluded narrow creative/production role boundary</x:v>
      </x:c>
      <x:c r="T11" s="9" t="str">
        <x:v>no</x:v>
      </x:c>
      <x:c r="U11" s="9" t="str">
        <x:v>LinkedIn 4474531854</x:v>
      </x:c>
    </x:row>
    <x:row r="12" ht="66" customHeight="1">
      <x:c r="A12" s="2" t="str">
        <x:v>S011</x:v>
      </x:c>
      <x:c r="B12" s="2" t="str">
        <x:v>A06</x:v>
      </x:c>
      <x:c r="C12" s="9" t="str">
        <x:v>TBWA</x:v>
      </x:c>
      <x:c r="D12" s="2" t="str">
        <x:v>Агентства</x:v>
      </x:c>
      <x:c r="E12" s="9" t="str">
        <x:v>TBWA Group Singapore</x:v>
      </x:c>
      <x:c r="F12" s="9" t="str">
        <x:v>Innovation Intern (Feb - Aug 2026), Full-time</x:v>
      </x:c>
      <x:c r="G12" s="9" t="str"/>
      <x:c r="H12" s="7"/>
      <x:c r="I12" s="9" t="str">
        <x:v>Дата не установлена</x:v>
      </x:c>
      <x:c r="J12" s="9" t="str"/>
      <x:c r="K12" s="8" t="n">
        <x:v>0</x:v>
      </x:c>
      <x:c r="L12" s="8" t="n">
        <x:v>1</x:v>
      </x:c>
      <x:c r="M12" s="8" t="n">
        <x:v>0</x:v>
      </x:c>
      <x:c r="N12" s="9" t="str">
        <x:v>verified_full_text</x:v>
      </x:c>
      <x:c r="O12" s="9" t="str">
        <x:v>Comfortable with AI platforms like ChatGPT, Claude, DALL·E, Runway</x:v>
      </x:c>
      <x:c r="P12" s="9" t="str">
        <x:v>https://sg.linkedin.com/jobs/view/innovation-intern-feb-aug-2026-full-time-at-tbwa-group-singapore-4330717629</x:v>
      </x:c>
      <x:c r="Q12" s="9" t="str"/>
      <x:c r="R12" s="9" t="str"/>
      <x:c r="S12" s="9" t="str">
        <x:v>Data analysis/innovation/marketing tools role; excluded narrow creative production boundary</x:v>
      </x:c>
      <x:c r="T12" s="9" t="str">
        <x:v>no</x:v>
      </x:c>
      <x:c r="U12" s="9" t="str">
        <x:v>LinkedIn 4330717629</x:v>
      </x:c>
    </x:row>
    <x:row r="13" ht="66" customHeight="1">
      <x:c r="A13" s="2" t="str">
        <x:v>S012</x:v>
      </x:c>
      <x:c r="B13" s="2" t="str">
        <x:v>A05</x:v>
      </x:c>
      <x:c r="C13" s="9" t="str">
        <x:v>BBDO</x:v>
      </x:c>
      <x:c r="D13" s="2" t="str">
        <x:v>Агентства</x:v>
      </x:c>
      <x:c r="E13" s="9" t="str">
        <x:v>BBDO Moscow (claimed by mirror)</x:v>
      </x:c>
      <x:c r="F13" s="9" t="str">
        <x:v>AI-креатор</x:v>
      </x:c>
      <x:c r="G13" s="9" t="str"/>
      <x:c r="H13" s="7"/>
      <x:c r="I13" s="9" t="str">
        <x:v>Дата не установлена</x:v>
      </x:c>
      <x:c r="J13" s="9" t="str"/>
      <x:c r="K13" s="8" t="n">
        <x:v>0</x:v>
      </x:c>
      <x:c r="L13" s="8" t="n">
        <x:v>1</x:v>
      </x:c>
      <x:c r="M13" s="8" t="n">
        <x:v>0</x:v>
      </x:c>
      <x:c r="N13" s="9" t="str">
        <x:v>unverified_index_only</x:v>
      </x:c>
      <x:c r="O13" s="9" t="str">
        <x:v>Оптимизировать промты под разные модели (Midjourney, DALL·E, Runway, Pika, Krea, Veo, Kling и др.)</x:v>
      </x:c>
      <x:c r="P13" s="9" t="str">
        <x:v>https://moskva-i-oblast.rabotajob.ru/companies/bbdo/</x:v>
      </x:c>
      <x:c r="Q13" s="9" t="str"/>
      <x:c r="R13" s="9" t="str"/>
      <x:c r="S13" s="9" t="str">
        <x:v>2026 mirror under legacy BBDO Russia brand; no stable role URL and ownership uncertain after withdrawal, excluded</x:v>
      </x:c>
      <x:c r="T13" s="9" t="str">
        <x:v>no</x:v>
      </x:c>
      <x:c r="U13" s="9" t="str"/>
    </x:row>
    <x:row r="14" ht="66" customHeight="1">
      <x:c r="A14" s="2" t="str">
        <x:v>S013</x:v>
      </x:c>
      <x:c r="B14" s="2" t="str">
        <x:v>A04</x:v>
      </x:c>
      <x:c r="C14" s="9" t="str">
        <x:v>Hogarth / WPP Production</x:v>
      </x:c>
      <x:c r="D14" s="2" t="str">
        <x:v>Агентства</x:v>
      </x:c>
      <x:c r="E14" s="9" t="str">
        <x:v>Hogarth Worldwide</x:v>
      </x:c>
      <x:c r="F14" s="9" t="str">
        <x:v>Senior Creative Technologist (Teacher)</x:v>
      </x:c>
      <x:c r="G14" s="9" t="str"/>
      <x:c r="H14" s="7"/>
      <x:c r="I14" s="9" t="str">
        <x:v>Дата не установлена</x:v>
      </x:c>
      <x:c r="J14" s="9" t="str"/>
      <x:c r="K14" s="8" t="n">
        <x:v>0</x:v>
      </x:c>
      <x:c r="L14" s="8" t="n">
        <x:v>0</x:v>
      </x:c>
      <x:c r="M14" s="8" t="n">
        <x:v>1</x:v>
      </x:c>
      <x:c r="N14" s="9" t="str">
        <x:v>unverified_index_only</x:v>
      </x:c>
      <x:c r="O14" s="9" t="str">
        <x:v>Bonus for knowing Adobe Firefly Graph and Adobe Workflow Builder</x:v>
      </x:c>
      <x:c r="P14" s="9" t="str">
        <x:v>https://www.monster.com/job-openings/senior-creative-technologist-teacher-new-york-ny--25f2117f-b47e-4a53-8568-4696125895fc</x:v>
      </x:c>
      <x:c r="Q14" s="9" t="str"/>
      <x:c r="R14" s="9" t="str"/>
      <x:c r="S14" s="9" t="str">
        <x:v>Snippet lead; fetch failed; teaching role boundary unreviewed</x:v>
      </x:c>
      <x:c r="T14" s="9" t="str">
        <x:v>no</x:v>
      </x:c>
      <x:c r="U14" s="9" t="str">
        <x:v>Monster 25f2117f-b47e-4a53-8568-4696125895fc</x:v>
      </x:c>
    </x:row>
    <x:row r="15" ht="66" customHeight="1">
      <x:c r="A15" s="2" t="str">
        <x:v>S014</x:v>
      </x:c>
      <x:c r="B15" s="2" t="str">
        <x:v>A16</x:v>
      </x:c>
      <x:c r="C15" s="9" t="str">
        <x:v>Monks</x:v>
      </x:c>
      <x:c r="D15" s="2" t="str">
        <x:v>Агентства</x:v>
      </x:c>
      <x:c r="E15" s="9" t="str">
        <x:v>Monks</x:v>
      </x:c>
      <x:c r="F15" s="9" t="str">
        <x:v>AI Artist (Banco de Talentos)</x:v>
      </x:c>
      <x:c r="G15" s="9" t="str">
        <x:v>Buenos Aires</x:v>
      </x:c>
      <x:c r="H15" s="7" t="n">
        <x:v>46015</x:v>
      </x:c>
      <x:c r="I15" s="9" t="str">
        <x:v>2025-12-24</x:v>
      </x:c>
      <x:c r="J15" s="9" t="str">
        <x:v>talent_pool</x:v>
      </x:c>
      <x:c r="K15" s="8" t="n">
        <x:v>0</x:v>
      </x:c>
      <x:c r="L15" s="8" t="n">
        <x:v>1</x:v>
      </x:c>
      <x:c r="M15" s="8" t="n">
        <x:v>1</x:v>
      </x:c>
      <x:c r="N15" s="9" t="str">
        <x:v>1 - official ATS</x:v>
      </x:c>
      <x:c r="O15" s="9" t="str">
        <x:v>AI Tools Skills: hands-on proficiency with Adobe Firefly, MidJourney, Stable Diffusion, ComfyUI, Runway, ChatGPT, and Google Gemini.</x:v>
      </x:c>
      <x:c r="P15" s="9" t="str">
        <x:v>https://www.monks.com/careers/5744220004/job?gh_jid=5744220004</x:v>
      </x:c>
      <x:c r="Q15" s="9" t="str">
        <x:v>https://boards-api.greenhouse.io/v1/boards/monks/jobs/5744220004</x:v>
      </x:c>
      <x:c r="R15" s="9" t="str">
        <x:v>https://www.monks.com/careers/5744220004/job?gh_jid=5744220004</x:v>
      </x:c>
      <x:c r="S15" s="9" t="str">
        <x:v>Live public ATS read on 2026-10-06; publication date is ATS first_published, not update time. Explicitly not an active vacancy; verified talent-pool evidence excluded from vacancy headline.</x:v>
      </x:c>
      <x:c r="T15" s="9" t="str">
        <x:v>no</x:v>
      </x:c>
      <x:c r="U15" s="9" t="str">
        <x:v>5744220004</x:v>
      </x:c>
    </x:row>
    <x:row r="16" ht="66" customHeight="1">
      <x:c r="A16" s="2" t="str">
        <x:v>S015</x:v>
      </x:c>
      <x:c r="B16" s="2" t="str">
        <x:v>A12</x:v>
      </x:c>
      <x:c r="C16" s="9" t="str">
        <x:v>Digitas</x:v>
      </x:c>
      <x:c r="D16" s="2" t="str">
        <x:v>Агентства</x:v>
      </x:c>
      <x:c r="E16" s="9" t="str">
        <x:v>Digitas México</x:v>
      </x:c>
      <x:c r="F16" s="9" t="str">
        <x:v>AI &amp; CRM Creative Specialist</x:v>
      </x:c>
      <x:c r="G16" s="9" t="str">
        <x:v>Mexico City, Mexico</x:v>
      </x:c>
      <x:c r="H16" s="7"/>
      <x:c r="I16" s="9" t="str">
        <x:v>unknown</x:v>
      </x:c>
      <x:c r="J16" s="9" t="str">
        <x:v>historical_status_unknown</x:v>
      </x:c>
      <x:c r="K16" s="8" t="n">
        <x:v>0</x:v>
      </x:c>
      <x:c r="L16" s="8" t="n">
        <x:v>0</x:v>
      </x:c>
      <x:c r="M16" s="8" t="n">
        <x:v>1</x:v>
      </x:c>
      <x:c r="N16" s="9" t="str">
        <x:v>3 - full JD mirror</x:v>
      </x:c>
      <x:c r="O16" s="9" t="str">
        <x:v>Utilizar Adobe Firefly y otras plataformas de inteligencia artificial generativa para apoyar la producción y adaptación de piezas creativas.</x:v>
      </x:c>
      <x:c r="P16" s="9" t="str">
        <x:v>https://bebee.com/mx/jobs/ai-crm-creative-specialist-digitas-mexico-city--theirstack-677253405</x:v>
      </x:c>
      <x:c r="Q16" s="9" t="str"/>
      <x:c r="R16" s="9" t="str">
        <x:v>https://bebee.com/mx/jobs/ai-crm-creative-specialist-digitas-mexico-city--theirstack-677253405</x:v>
      </x:c>
      <x:c r="S16" s="9" t="str">
        <x:v>Full description retrieved but only one low-provenance host, with no original requisition or independent corroboration verified. Conservative exclusion.</x:v>
      </x:c>
      <x:c r="T16" s="9" t="str">
        <x:v>supplemental_low_provenance</x:v>
      </x:c>
      <x:c r="U16" s="9" t="str">
        <x:v>theirstack-677253405</x:v>
      </x:c>
    </x:row>
    <x:row r="17" ht="66" customHeight="1">
      <x:c r="A17" s="2" t="str">
        <x:v>S016</x:v>
      </x:c>
      <x:c r="B17" s="2" t="str">
        <x:v>A11</x:v>
      </x:c>
      <x:c r="C17" s="9" t="str">
        <x:v>Leo</x:v>
      </x:c>
      <x:c r="D17" s="2" t="str">
        <x:v>Агентства</x:v>
      </x:c>
      <x:c r="E17" s="9" t="str">
        <x:v>Chemistry / Publicis Groupe</x:v>
      </x:c>
      <x:c r="F17" s="9" t="str">
        <x:v>Content Creator (open to juniors)</x:v>
      </x:c>
      <x:c r="G17" s="9" t="str"/>
      <x:c r="H17" s="7"/>
      <x:c r="I17" s="9" t="str">
        <x:v>Дата не установлена</x:v>
      </x:c>
      <x:c r="J17" s="9" t="str">
        <x:v>excluded</x:v>
      </x:c>
      <x:c r="K17" s="8" t="n">
        <x:v>1</x:v>
      </x:c>
      <x:c r="L17" s="8" t="n">
        <x:v>0</x:v>
      </x:c>
      <x:c r="M17" s="8" t="n">
        <x:v>0</x:v>
      </x:c>
      <x:c r="N17" s="9" t="str">
        <x:v>verified_full_text</x:v>
      </x:c>
      <x:c r="O17" s="9" t="str"/>
      <x:c r="P17" s="9" t="str">
        <x:v>https://careers.publicisgroupe.com/jobs/175252?lang=en-US</x:v>
      </x:c>
      <x:c r="Q17" s="9" t="str"/>
      <x:c r="R17" s="9" t="str"/>
      <x:c r="S17" s="9" t="str"/>
      <x:c r="T17" s="9" t="str">
        <x:v>no</x:v>
      </x:c>
      <x:c r="U17" s="9" t="str">
        <x:v>175252</x:v>
      </x:c>
    </x:row>
    <x:row r="18" ht="66" customHeight="1">
      <x:c r="A18" s="2" t="str">
        <x:v>S017</x:v>
      </x:c>
      <x:c r="B18" s="2" t="str">
        <x:v>A11</x:v>
      </x:c>
      <x:c r="C18" s="9" t="str">
        <x:v>Leo</x:v>
      </x:c>
      <x:c r="D18" s="2" t="str">
        <x:v>Агентства</x:v>
      </x:c>
      <x:c r="E18" s="9" t="str">
        <x:v>Adcom Leo Burnett</x:v>
      </x:c>
      <x:c r="F18" s="9" t="str">
        <x:v>AI Animation Specialist</x:v>
      </x:c>
      <x:c r="G18" s="9" t="str"/>
      <x:c r="H18" s="7"/>
      <x:c r="I18" s="9" t="str">
        <x:v>Дата не установлена</x:v>
      </x:c>
      <x:c r="J18" s="9" t="str">
        <x:v>excluded</x:v>
      </x:c>
      <x:c r="K18" s="8" t="n">
        <x:v>1</x:v>
      </x:c>
      <x:c r="L18" s="8" t="n">
        <x:v>1</x:v>
      </x:c>
      <x:c r="M18" s="8" t="n">
        <x:v>0</x:v>
      </x:c>
      <x:c r="N18" s="9" t="str">
        <x:v>unverified_index_only</x:v>
      </x:c>
      <x:c r="O18" s="9" t="str"/>
      <x:c r="P18" s="9" t="str">
        <x:v>https://www.linkedin.com/posts/adcom-pvt-limited_we-at-adcom-are-hiring-for-the-following-activity-7373996503385772032-kCkn</x:v>
      </x:c>
      <x:c r="Q18" s="9" t="str"/>
      <x:c r="R18" s="9" t="str"/>
      <x:c r="S18" s="9" t="str"/>
      <x:c r="T18" s="9" t="str">
        <x:v>no</x:v>
      </x:c>
      <x:c r="U18" s="9" t="str">
        <x:v>linkedin-post-7373996503385772032</x:v>
      </x:c>
    </x:row>
    <x:row r="19" ht="66" customHeight="1">
      <x:c r="A19" s="2" t="str">
        <x:v>S018</x:v>
      </x:c>
      <x:c r="B19" s="2" t="str">
        <x:v>A14</x:v>
      </x:c>
      <x:c r="C19" s="9" t="str">
        <x:v>Dentsu Creative</x:v>
      </x:c>
      <x:c r="D19" s="2" t="str">
        <x:v>Агентства</x:v>
      </x:c>
      <x:c r="E19" s="9" t="str">
        <x:v>Dentsu</x:v>
      </x:c>
      <x:c r="F19" s="9" t="str">
        <x:v>Senior Brand Designer</x:v>
      </x:c>
      <x:c r="G19" s="9" t="str"/>
      <x:c r="H19" s="7"/>
      <x:c r="I19" s="9" t="str">
        <x:v>Дата не установлена</x:v>
      </x:c>
      <x:c r="J19" s="9" t="str">
        <x:v>excluded</x:v>
      </x:c>
      <x:c r="K19" s="8" t="n">
        <x:v>0</x:v>
      </x:c>
      <x:c r="L19" s="8" t="n">
        <x:v>0</x:v>
      </x:c>
      <x:c r="M19" s="8" t="n">
        <x:v>1</x:v>
      </x:c>
      <x:c r="N19" s="9" t="str">
        <x:v>verified_full_text</x:v>
      </x:c>
      <x:c r="O19" s="9" t="str"/>
      <x:c r="P19" s="9" t="str">
        <x:v>https://dentsuaegis.wd3.myworkdayjobs.com/en-US/DAN_GLOBAL/job/Cairo/Senior-Brand-Designer_R1123096-1</x:v>
      </x:c>
      <x:c r="Q19" s="9" t="str"/>
      <x:c r="R19" s="9" t="str"/>
      <x:c r="S19" s="9" t="str"/>
      <x:c r="T19" s="9" t="str">
        <x:v>no</x:v>
      </x:c>
      <x:c r="U19" s="9" t="str">
        <x:v>R1123096</x:v>
      </x:c>
    </x:row>
    <x:row r="20" ht="66" customHeight="1">
      <x:c r="A20" s="2" t="str">
        <x:v>S019</x:v>
      </x:c>
      <x:c r="B20" s="2" t="str">
        <x:v>A14</x:v>
      </x:c>
      <x:c r="C20" s="9" t="str">
        <x:v>Dentsu Creative</x:v>
      </x:c>
      <x:c r="D20" s="2" t="str">
        <x:v>Агентства</x:v>
      </x:c>
      <x:c r="E20" s="9" t="str">
        <x:v>Dentsu</x:v>
      </x:c>
      <x:c r="F20" s="9" t="str">
        <x:v>Senior Art Director</x:v>
      </x:c>
      <x:c r="G20" s="9" t="str"/>
      <x:c r="H20" s="7"/>
      <x:c r="I20" s="9" t="str">
        <x:v>Дата не установлена</x:v>
      </x:c>
      <x:c r="J20" s="9" t="str">
        <x:v>excluded</x:v>
      </x:c>
      <x:c r="K20" s="8" t="n">
        <x:v>0</x:v>
      </x:c>
      <x:c r="L20" s="8" t="n">
        <x:v>0</x:v>
      </x:c>
      <x:c r="M20" s="8" t="n">
        <x:v>1</x:v>
      </x:c>
      <x:c r="N20" s="9" t="str">
        <x:v>verified_full_text</x:v>
      </x:c>
      <x:c r="O20" s="9" t="str"/>
      <x:c r="P20" s="9" t="str">
        <x:v>https://dentsuaegis.wd3.myworkdayjobs.com/en-US/DAN_GLOBAL/job/Cairo/Senior-Art-Director_R1122742-1</x:v>
      </x:c>
      <x:c r="Q20" s="9" t="str"/>
      <x:c r="R20" s="9" t="str"/>
      <x:c r="S20" s="9" t="str"/>
      <x:c r="T20" s="9" t="str">
        <x:v>no</x:v>
      </x:c>
      <x:c r="U20" s="9" t="str">
        <x:v>R1122742</x:v>
      </x:c>
    </x:row>
    <x:row r="21" ht="66" customHeight="1">
      <x:c r="A21" s="2" t="str">
        <x:v>S020</x:v>
      </x:c>
      <x:c r="B21" s="2" t="str">
        <x:v>A14</x:v>
      </x:c>
      <x:c r="C21" s="9" t="str">
        <x:v>Dentsu Creative</x:v>
      </x:c>
      <x:c r="D21" s="2" t="str">
        <x:v>Агентства</x:v>
      </x:c>
      <x:c r="E21" s="9" t="str">
        <x:v>Merkle</x:v>
      </x:c>
      <x:c r="F21" s="9" t="str">
        <x:v>Adobe Solution Architect</x:v>
      </x:c>
      <x:c r="G21" s="9" t="str"/>
      <x:c r="H21" s="7"/>
      <x:c r="I21" s="9" t="str">
        <x:v>Дата не установлена</x:v>
      </x:c>
      <x:c r="J21" s="9" t="str">
        <x:v>excluded</x:v>
      </x:c>
      <x:c r="K21" s="8" t="n">
        <x:v>0</x:v>
      </x:c>
      <x:c r="L21" s="8" t="n">
        <x:v>0</x:v>
      </x:c>
      <x:c r="M21" s="8" t="n">
        <x:v>1</x:v>
      </x:c>
      <x:c r="N21" s="9" t="str">
        <x:v>verified_full_text</x:v>
      </x:c>
      <x:c r="O21" s="9" t="str"/>
      <x:c r="P21" s="9" t="str">
        <x:v>https://dentsuaegis.wd3.myworkdayjobs.com/en-US/DAN_GLOBAL/job/Detroit---3000-Town-Center/Adobe-Solution-Architect_R1131677</x:v>
      </x:c>
      <x:c r="Q21" s="9" t="str"/>
      <x:c r="R21" s="9" t="str"/>
      <x:c r="S21" s="9" t="str"/>
      <x:c r="T21" s="9" t="str">
        <x:v>no</x:v>
      </x:c>
      <x:c r="U21" s="9" t="str">
        <x:v>R1131677</x:v>
      </x:c>
    </x:row>
    <x:row r="22" ht="66" customHeight="1">
      <x:c r="A22" s="2" t="str">
        <x:v>S021</x:v>
      </x:c>
      <x:c r="B22" s="2" t="str">
        <x:v>A14</x:v>
      </x:c>
      <x:c r="C22" s="9" t="str">
        <x:v>Dentsu Creative</x:v>
      </x:c>
      <x:c r="D22" s="2" t="str">
        <x:v>Агентства</x:v>
      </x:c>
      <x:c r="E22" s="9" t="str">
        <x:v>Merkle</x:v>
      </x:c>
      <x:c r="F22" s="9" t="str">
        <x:v>Innovation Lab Lead</x:v>
      </x:c>
      <x:c r="G22" s="9" t="str"/>
      <x:c r="H22" s="7"/>
      <x:c r="I22" s="9" t="str">
        <x:v>Дата не установлена</x:v>
      </x:c>
      <x:c r="J22" s="9" t="str">
        <x:v>excluded</x:v>
      </x:c>
      <x:c r="K22" s="8" t="n">
        <x:v>0</x:v>
      </x:c>
      <x:c r="L22" s="8" t="n">
        <x:v>0</x:v>
      </x:c>
      <x:c r="M22" s="8" t="n">
        <x:v>1</x:v>
      </x:c>
      <x:c r="N22" s="9" t="str">
        <x:v>verified_full_text</x:v>
      </x:c>
      <x:c r="O22" s="9" t="str"/>
      <x:c r="P22" s="9" t="str">
        <x:v>https://dentsuaegis.wd3.myworkdayjobs.com/en-US/DAN_GLOBAL/job/USA---Remote---Colorado/Director-of-Product-Strategy_R1132352</x:v>
      </x:c>
      <x:c r="Q22" s="9" t="str"/>
      <x:c r="R22" s="9" t="str"/>
      <x:c r="S22" s="9" t="str"/>
      <x:c r="T22" s="9" t="str">
        <x:v>no</x:v>
      </x:c>
      <x:c r="U22" s="9" t="str">
        <x:v>R1132352</x:v>
      </x:c>
    </x:row>
    <x:row r="23" ht="66" customHeight="1">
      <x:c r="A23" s="2" t="str">
        <x:v>S022</x:v>
      </x:c>
      <x:c r="B23" s="2" t="str">
        <x:v>A15</x:v>
      </x:c>
      <x:c r="C23" s="9" t="str">
        <x:v>Havas Creative</x:v>
      </x:c>
      <x:c r="D23" s="2" t="str">
        <x:v>Агентства</x:v>
      </x:c>
      <x:c r="E23" s="9" t="str">
        <x:v>Havas Life London / Havas Health</x:v>
      </x:c>
      <x:c r="F23" s="9" t="str">
        <x:v>Junior Motion Designer</x:v>
      </x:c>
      <x:c r="G23" s="9" t="str"/>
      <x:c r="H23" s="7"/>
      <x:c r="I23" s="9" t="str">
        <x:v>Дата не установлена</x:v>
      </x:c>
      <x:c r="J23" s="9" t="str">
        <x:v>excluded</x:v>
      </x:c>
      <x:c r="K23" s="8" t="n">
        <x:v>1</x:v>
      </x:c>
      <x:c r="L23" s="8" t="n">
        <x:v>1</x:v>
      </x:c>
      <x:c r="M23" s="8" t="n">
        <x:v>0</x:v>
      </x:c>
      <x:c r="N23" s="9" t="str">
        <x:v>unverified_index_only</x:v>
      </x:c>
      <x:c r="O23" s="9" t="str"/>
      <x:c r="P23" s="9" t="str">
        <x:v>https://uk.linkedin.com/jobs/view/junior-motion-designer-at-havas-life-london-4454246986</x:v>
      </x:c>
      <x:c r="Q23" s="9" t="str"/>
      <x:c r="R23" s="9" t="str"/>
      <x:c r="S23" s="9" t="str"/>
      <x:c r="T23" s="9" t="str">
        <x:v>no</x:v>
      </x:c>
      <x:c r="U23" s="9" t="str">
        <x:v>4454246986</x:v>
      </x:c>
    </x:row>
    <x:row r="24" ht="66" customHeight="1">
      <x:c r="A24" s="2" t="str">
        <x:v>S023</x:v>
      </x:c>
      <x:c r="B24" s="2" t="str">
        <x:v>A13</x:v>
      </x:c>
      <x:c r="C24" s="9" t="str">
        <x:v>Accenture Song / Droga5</x:v>
      </x:c>
      <x:c r="D24" s="2" t="str">
        <x:v>Агентства</x:v>
      </x:c>
      <x:c r="E24" s="9" t="str">
        <x:v>Accenture Canvas</x:v>
      </x:c>
      <x:c r="F24" s="9" t="str">
        <x:v>Art Director</x:v>
      </x:c>
      <x:c r="G24" s="9" t="str"/>
      <x:c r="H24" s="7"/>
      <x:c r="I24" s="9" t="str">
        <x:v>Дата не установлена</x:v>
      </x:c>
      <x:c r="J24" s="9" t="str">
        <x:v>excluded</x:v>
      </x:c>
      <x:c r="K24" s="8" t="n">
        <x:v>0</x:v>
      </x:c>
      <x:c r="L24" s="8" t="n">
        <x:v>0</x:v>
      </x:c>
      <x:c r="M24" s="8" t="n">
        <x:v>1</x:v>
      </x:c>
      <x:c r="N24" s="9" t="str">
        <x:v>verified_full_text</x:v>
      </x:c>
      <x:c r="O24" s="9" t="str"/>
      <x:c r="P24" s="9" t="str">
        <x:v>https://www.accenture.com/us-en/careers/jobdetails?id=R00334350_en</x:v>
      </x:c>
      <x:c r="Q24" s="9" t="str"/>
      <x:c r="R24" s="9" t="str"/>
      <x:c r="S24" s="9" t="str"/>
      <x:c r="T24" s="9" t="str">
        <x:v>no</x:v>
      </x:c>
      <x:c r="U24" s="9" t="str">
        <x:v>R00334350</x:v>
      </x:c>
    </x:row>
    <x:row r="25" ht="66" customHeight="1">
      <x:c r="A25" s="2" t="str">
        <x:v>S024</x:v>
      </x:c>
      <x:c r="B25" s="2" t="str">
        <x:v>A12</x:v>
      </x:c>
      <x:c r="C25" s="9" t="str">
        <x:v>Digitas</x:v>
      </x:c>
      <x:c r="D25" s="2" t="str">
        <x:v>Агентства</x:v>
      </x:c>
      <x:c r="E25" s="9" t="str">
        <x:v>Digitas</x:v>
      </x:c>
      <x:c r="F25" s="9" t="str">
        <x:v>AI Technical Architect</x:v>
      </x:c>
      <x:c r="G25" s="9" t="str"/>
      <x:c r="H25" s="7"/>
      <x:c r="I25" s="9" t="str">
        <x:v>Дата не установлена</x:v>
      </x:c>
      <x:c r="J25" s="9" t="str">
        <x:v>excluded</x:v>
      </x:c>
      <x:c r="K25" s="8" t="n">
        <x:v>0</x:v>
      </x:c>
      <x:c r="L25" s="8" t="n">
        <x:v>1</x:v>
      </x:c>
      <x:c r="M25" s="8" t="n">
        <x:v>0</x:v>
      </x:c>
      <x:c r="N25" s="9" t="str">
        <x:v>unverified_index_only</x:v>
      </x:c>
      <x:c r="O25" s="9" t="str"/>
      <x:c r="P25" s="9" t="str">
        <x:v>https://www.ziprecruiter.com/c/Digitas/Job/AI-Technical-Architect/-in-New-York%2CNY?jid=f3f37c127f11d766</x:v>
      </x:c>
      <x:c r="Q25" s="9" t="str"/>
      <x:c r="R25" s="9" t="str"/>
      <x:c r="S25" s="9" t="str"/>
      <x:c r="T25" s="9" t="str">
        <x:v>no</x:v>
      </x:c>
      <x:c r="U25" s="9" t="str">
        <x:v>ziprecruiter-f3f37c127f11d766</x:v>
      </x:c>
    </x:row>
    <x:row r="26" ht="66" customHeight="1">
      <x:c r="A26" s="2" t="str">
        <x:v>S025</x:v>
      </x:c>
      <x:c r="B26" s="2" t="str">
        <x:v>A18</x:v>
      </x:c>
      <x:c r="C26" s="9" t="str">
        <x:v>R/GA</x:v>
      </x:c>
      <x:c r="D26" s="2" t="str">
        <x:v>Агентства</x:v>
      </x:c>
      <x:c r="E26" s="9" t="str">
        <x:v>R/GA Careers Page / Reinsurance Group of America (inconsistent mirror)</x:v>
      </x:c>
      <x:c r="F26" s="9" t="str">
        <x:v>Animator / Motion Designer</x:v>
      </x:c>
      <x:c r="G26" s="9" t="str"/>
      <x:c r="H26" s="7"/>
      <x:c r="I26" s="9" t="str">
        <x:v>Дата не установлена</x:v>
      </x:c>
      <x:c r="J26" s="9" t="str">
        <x:v>excluded</x:v>
      </x:c>
      <x:c r="K26" s="8" t="n">
        <x:v>0</x:v>
      </x:c>
      <x:c r="L26" s="8" t="n">
        <x:v>1</x:v>
      </x:c>
      <x:c r="M26" s="8" t="n">
        <x:v>0</x:v>
      </x:c>
      <x:c r="N26" s="9" t="str">
        <x:v>verified_full_text</x:v>
      </x:c>
      <x:c r="O26" s="9" t="str"/>
      <x:c r="P26" s="9" t="str">
        <x:v>https://himalayas.app/companies/r-ga-careers-page/jobs/animator-motion-designer</x:v>
      </x:c>
      <x:c r="Q26" s="9" t="str"/>
      <x:c r="R26" s="9" t="str"/>
      <x:c r="S26" s="9" t="str"/>
      <x:c r="T26" s="9" t="str">
        <x:v>no</x:v>
      </x:c>
      <x:c r="U26" s="9" t="str">
        <x:v>himalayas-animator-motion-designer</x:v>
      </x:c>
    </x:row>
    <x:row r="27" ht="66" customHeight="1">
      <x:c r="A27" s="2" t="str">
        <x:v>S026</x:v>
      </x:c>
      <x:c r="B27" s="2" t="str">
        <x:v>A18</x:v>
      </x:c>
      <x:c r="C27" s="9" t="str">
        <x:v>R/GA</x:v>
      </x:c>
      <x:c r="D27" s="2" t="str">
        <x:v>Агентства</x:v>
      </x:c>
      <x:c r="E27" s="9" t="str">
        <x:v>Addition / R/GA</x:v>
      </x:c>
      <x:c r="F27" s="9" t="str">
        <x:v>Technical Product Manager (AI Innovation)</x:v>
      </x:c>
      <x:c r="G27" s="9" t="str"/>
      <x:c r="H27" s="7"/>
      <x:c r="I27" s="9" t="str">
        <x:v>Дата не установлена</x:v>
      </x:c>
      <x:c r="J27" s="9" t="str">
        <x:v>excluded</x:v>
      </x:c>
      <x:c r="K27" s="8" t="n">
        <x:v>0</x:v>
      </x:c>
      <x:c r="L27" s="8" t="n">
        <x:v>1</x:v>
      </x:c>
      <x:c r="M27" s="8" t="n">
        <x:v>0</x:v>
      </x:c>
      <x:c r="N27" s="9" t="str">
        <x:v>unverified_index_only</x:v>
      </x:c>
      <x:c r="O27" s="9" t="str"/>
      <x:c r="P27" s="9" t="str">
        <x:v>https://builtin.com/job/technical-product-manager-ai-innovation/8736021</x:v>
      </x:c>
      <x:c r="Q27" s="9" t="str"/>
      <x:c r="R27" s="9" t="str"/>
      <x:c r="S27" s="9" t="str"/>
      <x:c r="T27" s="9" t="str">
        <x:v>no</x:v>
      </x:c>
      <x:c r="U27" s="9" t="str">
        <x:v>builtin-8736021</x:v>
      </x:c>
    </x:row>
    <x:row r="28" ht="66" customHeight="1">
      <x:c r="A28" s="2" t="str">
        <x:v>S027</x:v>
      </x:c>
      <x:c r="B28" s="2" t="str">
        <x:v>A16</x:v>
      </x:c>
      <x:c r="C28" s="9" t="str">
        <x:v>Monks</x:v>
      </x:c>
      <x:c r="D28" s="2" t="str">
        <x:v>Агентства</x:v>
      </x:c>
      <x:c r="E28" s="9" t="str">
        <x:v>Monks</x:v>
      </x:c>
      <x:c r="F28" s="9" t="str">
        <x:v>AI Artist (Banco de Talentos)</x:v>
      </x:c>
      <x:c r="G28" s="9" t="str"/>
      <x:c r="H28" s="7"/>
      <x:c r="I28" s="9" t="str">
        <x:v>Дата не установлена</x:v>
      </x:c>
      <x:c r="J28" s="9" t="str">
        <x:v>talent_pool</x:v>
      </x:c>
      <x:c r="K28" s="8" t="n">
        <x:v>0</x:v>
      </x:c>
      <x:c r="L28" s="8" t="n">
        <x:v>1</x:v>
      </x:c>
      <x:c r="M28" s="8" t="n">
        <x:v>1</x:v>
      </x:c>
      <x:c r="N28" s="9" t="str">
        <x:v>verified_full_text</x:v>
      </x:c>
      <x:c r="O28" s="9" t="str"/>
      <x:c r="P28" s="9" t="str">
        <x:v>https://www.monks.com/careers/5744220004/job?gh_jid=5744220004</x:v>
      </x:c>
      <x:c r="Q28" s="9" t="str"/>
      <x:c r="R28" s="9" t="str"/>
      <x:c r="S28" s="9" t="str"/>
      <x:c r="T28" s="9" t="str">
        <x:v>no</x:v>
      </x:c>
      <x:c r="U28" s="9" t="str">
        <x:v>5744220004</x:v>
      </x:c>
    </x:row>
  </x:sheetData>
  <x:conditionalFormatting sqref="K2:M28">
    <x:cfRule type="cellIs" dxfId="1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34a82c78304d3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1" hidden="0" customWidth="1"/>
    <x:col min="2" max="2" width="35" hidden="0" customWidth="1"/>
    <x:col min="3" max="3" width="20" hidden="0" customWidth="1"/>
    <x:col min="4" max="4" width="55" hidden="0" customWidth="1"/>
    <x:col min="5" max="5" width="140" hidden="0" customWidth="1"/>
    <x:col min="6" max="6" width="110" hidden="0" customWidth="1"/>
    <x:col min="7" max="7" width="110" hidden="0" customWidth="1"/>
    <x:col min="8" max="8" width="95" hidden="0" customWidth="1"/>
    <x:col min="9" max="9" width="20" hidden="0" customWidth="1"/>
  </x:cols>
  <x:sheetData>
    <x:row r="1" ht="36" customHeight="1">
      <x:c r="A1" s="6" t="str">
        <x:v>ID</x:v>
      </x:c>
      <x:c r="B1" s="6" t="str">
        <x:v>Компания</x:v>
      </x:c>
      <x:c r="C1" s="6" t="str">
        <x:v>Инструмент</x:v>
      </x:c>
      <x:c r="D1" s="6" t="str">
        <x:v>Результат</x:v>
      </x:c>
      <x:c r="E1" s="6" t="str">
        <x:v>Запросы</x:v>
      </x:c>
      <x:c r="F1" s="6" t="str">
        <x:v>Проверенные источники / маршруты</x:v>
      </x:c>
      <x:c r="G1" s="6" t="str">
        <x:v>Ограничения</x:v>
      </x:c>
      <x:c r="H1" s="6" t="str">
        <x:v>Выполненные проходы</x:v>
      </x:c>
      <x:c r="I1" s="6" t="str">
        <x:v>Дата проверки</x:v>
      </x:c>
    </x:row>
    <x:row r="2" ht="145" customHeight="1">
      <x:c r="A2" s="2" t="str">
        <x:v>C01</x:v>
      </x:c>
      <x:c r="B2" s="9" t="str">
        <x:v>Nestlé</x:v>
      </x:c>
      <x:c r="C2" s="9" t="str">
        <x:v>Higgsfield</x:v>
      </x:c>
      <x:c r="D2" s="9" t="str">
        <x:v>Проверенных упоминаний в основном корпусе не найдено</x:v>
      </x:c>
      <x:c r="E2" s="9" t="str">
        <x:v>site:nestle.com "Higgsfield" (job OR careers OR designer OR content) | "Nestle" "Higgsfield" (job OR hiring OR careers OR designer) | site:linkedin.com/jobs/view "Nestle" ("Higgsfield" OR "Runway" OR "Firefly")</x:v>
      </x:c>
      <x:c r="F2" s="9" t="str">
        <x:v>primary employer/ATS indexed query; public indexed job-board query; LinkedIn-focused query; targeted follow-up on candidates</x:v>
      </x:c>
      <x:c r="G2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2" s="9" t="str">
        <x:v>primary employer/ATS indexed query; public indexed job-board query; LinkedIn-focused query; targeted follow-up on candidates</x:v>
      </x:c>
      <x:c r="I2" s="2" t="str">
        <x:v>2026-10-06</x:v>
      </x:c>
    </x:row>
    <x:row r="3" ht="145" customHeight="1">
      <x:c r="A3" s="2" t="str">
        <x:v>C01</x:v>
      </x:c>
      <x:c r="B3" s="9" t="str">
        <x:v>Nestlé</x:v>
      </x:c>
      <x:c r="C3" s="9" t="str">
        <x:v>Runway</x:v>
      </x:c>
      <x:c r="D3" s="9" t="str">
        <x:v>Проверенных упоминаний в основном корпусе не найдено</x:v>
      </x:c>
      <x:c r="E3" s="9" t="str">
        <x:v>site:nestle.com "Runway" (job OR careers OR designer OR content) | "Nestle" "Runway" (job OR hiring OR careers OR designer) | site:linkedin.com/jobs/view "Nestle" ("Higgsfield" OR "Runway" OR "Firefly")</x:v>
      </x:c>
      <x:c r="F3" s="9" t="str">
        <x:v>primary employer/ATS indexed query; public indexed job-board query; LinkedIn-focused query; targeted follow-up on candidates</x:v>
      </x:c>
      <x:c r="G3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3" s="9" t="str">
        <x:v>primary employer/ATS indexed query; public indexed job-board query; LinkedIn-focused query; targeted follow-up on candidates</x:v>
      </x:c>
      <x:c r="I3" s="2" t="str">
        <x:v>2026-10-06</x:v>
      </x:c>
    </x:row>
    <x:row r="4" ht="145" customHeight="1">
      <x:c r="A4" s="2" t="str">
        <x:v>C01</x:v>
      </x:c>
      <x:c r="B4" s="9" t="str">
        <x:v>Nestlé</x:v>
      </x:c>
      <x:c r="C4" s="9" t="str">
        <x:v>Firefly</x:v>
      </x:c>
      <x:c r="D4" s="9" t="str">
        <x:v>2 вакансий в основном корпусе; 1 вне основного корпуса</x:v>
      </x:c>
      <x:c r="E4" s="9" t="str">
        <x:v>site:nestle.com "Firefly" (job OR careers OR designer OR content) | "Nestle" "Firefly" (job OR hiring OR careers OR designer) | site:linkedin.com/jobs/view "Nestle" ("Higgsfield" OR "Runway" OR "Firefly")</x:v>
      </x:c>
      <x:c r="F4" s="9" t="str">
        <x:v>https://www.linkedin.com/jobs/view/4338792587 | https://www.linkedin.com/jobs/view/4467205993 | https://remoteforge.site/job/nestl-rd-graphic-design-internship-nestl-rd-graphic-design-internship</x:v>
      </x:c>
      <x:c r="G4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4" s="9" t="str">
        <x:v>primary employer/ATS indexed query; public indexed job-board query; LinkedIn-focused query; targeted follow-up on candidates</x:v>
      </x:c>
      <x:c r="I4" s="2" t="str">
        <x:v>2026-10-06</x:v>
      </x:c>
    </x:row>
    <x:row r="5" ht="145" customHeight="1">
      <x:c r="A5" s="2" t="str">
        <x:v>C02</x:v>
      </x:c>
      <x:c r="B5" s="9" t="str">
        <x:v>Procter &amp; Gamble</x:v>
      </x:c>
      <x:c r="C5" s="9" t="str">
        <x:v>Higgsfield</x:v>
      </x:c>
      <x:c r="D5" s="9" t="str">
        <x:v>Проверенных упоминаний в основном корпусе не найдено</x:v>
      </x:c>
      <x:c r="E5" s="9" t="str">
        <x:v>site:pgcareers.com "Higgsfield" (job OR careers OR designer OR content) | "Procter Gamble" "Higgsfield" (job OR hiring OR careers OR designer) | site:linkedin.com/jobs/view "Procter Gamble" ("Higgsfield" OR "Runway" OR "Firefly")</x:v>
      </x:c>
      <x:c r="F5" s="9" t="str">
        <x:v>primary employer/ATS indexed query; public indexed job-board query; LinkedIn-focused query; targeted follow-up on candidates</x:v>
      </x:c>
      <x:c r="G5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5" s="9" t="str">
        <x:v>primary employer/ATS indexed query; public indexed job-board query; LinkedIn-focused query; targeted follow-up on candidates</x:v>
      </x:c>
      <x:c r="I5" s="2" t="str">
        <x:v>2026-10-06</x:v>
      </x:c>
    </x:row>
    <x:row r="6" ht="145" customHeight="1">
      <x:c r="A6" s="2" t="str">
        <x:v>C02</x:v>
      </x:c>
      <x:c r="B6" s="9" t="str">
        <x:v>Procter &amp; Gamble</x:v>
      </x:c>
      <x:c r="C6" s="9" t="str">
        <x:v>Runway</x:v>
      </x:c>
      <x:c r="D6" s="9" t="str">
        <x:v>1 вакансий в основном корпусе</x:v>
      </x:c>
      <x:c r="E6" s="9" t="str">
        <x:v>site:pgcareers.com "Runway" (job OR careers OR designer OR content) | "Procter Gamble" "Runway" (job OR hiring OR careers OR designer) | site:linkedin.com/jobs/view "Procter Gamble" ("Higgsfield" OR "Runway" OR "Firefly")</x:v>
      </x:c>
      <x:c r="F6" s="9" t="str">
        <x:v>https://www.linkedin.com/jobs/view/senior-editor-at-procter-gamble-4431992722</x:v>
      </x:c>
      <x:c r="G6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6" s="9" t="str">
        <x:v>primary employer/ATS indexed query; public indexed job-board query; LinkedIn-focused query; targeted follow-up on candidates</x:v>
      </x:c>
      <x:c r="I6" s="2" t="str">
        <x:v>2026-10-06</x:v>
      </x:c>
    </x:row>
    <x:row r="7" ht="145" customHeight="1">
      <x:c r="A7" s="2" t="str">
        <x:v>C02</x:v>
      </x:c>
      <x:c r="B7" s="9" t="str">
        <x:v>Procter &amp; Gamble</x:v>
      </x:c>
      <x:c r="C7" s="9" t="str">
        <x:v>Firefly</x:v>
      </x:c>
      <x:c r="D7" s="9" t="str">
        <x:v>8 вакансий в основном корпусе</x:v>
      </x:c>
      <x:c r="E7" s="9" t="str">
        <x:v>site:pgcareers.com "Firefly" (job OR careers OR designer OR content) | "Procter Gamble" "Firefly" (job OR hiring OR careers OR designer) | site:linkedin.com/jobs/view "Procter Gamble" ("Higgsfield" OR "Runway" OR "Firefly")</x:v>
      </x:c>
      <x:c r="F7" s="9" t="str">
        <x:v>https://builtin.com/job/brand-expression-designer/9275766 | https://www.linkedin.com/jobs/view/na-home-care-brand-expression-designer-at-procter-gamble-4457710058 | https://www.linkedin.com/jobs/view/senior-editor-at-procter-gamble-4431992722 | https://builtin.com/job/digital-content-designer-motion-ui/11373224 | https://alion.io/job/pg-careers-senior-digital-design-manager-laundry-care | https://builtin.com/job/industrial-designer-zevo-spruce-devices/10193908 | https://simplify.jobs/p/e65ca8a8-8f64-4d64-aa34-69f4d950d044/Brand-Expression-Designer | https://emploive.com/jobs/4855210/brand-expression-designer-home-care-digital-commerce-social-procter-gamble</x:v>
      </x:c>
      <x:c r="G7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7" s="9" t="str">
        <x:v>primary employer/ATS indexed query; public indexed job-board query; LinkedIn-focused query; targeted follow-up on candidates</x:v>
      </x:c>
      <x:c r="I7" s="2" t="str">
        <x:v>2026-10-06</x:v>
      </x:c>
    </x:row>
    <x:row r="8" ht="145" customHeight="1">
      <x:c r="A8" s="2" t="str">
        <x:v>C03</x:v>
      </x:c>
      <x:c r="B8" s="9" t="str">
        <x:v>Unilever</x:v>
      </x:c>
      <x:c r="C8" s="9" t="str">
        <x:v>Higgsfield</x:v>
      </x:c>
      <x:c r="D8" s="9" t="str">
        <x:v>Проверенных упоминаний в основном корпусе не найдено</x:v>
      </x:c>
      <x:c r="E8" s="9" t="str">
        <x:v>site:careers.unilever.com "Higgsfield" (job OR careers OR designer OR content) | "Unilever" "Higgsfield" (job OR hiring OR careers OR designer) | site:linkedin.com/jobs/view "Unilever" ("Higgsfield" OR "Runway" OR "Firefly")</x:v>
      </x:c>
      <x:c r="F8" s="9" t="str">
        <x:v>primary employer/ATS indexed query; public indexed job-board query; LinkedIn-focused query; targeted follow-up on candidates</x:v>
      </x:c>
      <x:c r="G8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8" s="9" t="str">
        <x:v>primary employer/ATS indexed query; public indexed job-board query; LinkedIn-focused query; targeted follow-up on candidates</x:v>
      </x:c>
      <x:c r="I8" s="2" t="str">
        <x:v>2026-10-06</x:v>
      </x:c>
    </x:row>
    <x:row r="9" ht="145" customHeight="1">
      <x:c r="A9" s="2" t="str">
        <x:v>C03</x:v>
      </x:c>
      <x:c r="B9" s="9" t="str">
        <x:v>Unilever</x:v>
      </x:c>
      <x:c r="C9" s="9" t="str">
        <x:v>Runway</x:v>
      </x:c>
      <x:c r="D9" s="9" t="str">
        <x:v>1 вакансий в основном корпусе</x:v>
      </x:c>
      <x:c r="E9" s="9" t="str">
        <x:v>site:careers.unilever.com "Runway" (job OR careers OR designer OR content) | "Unilever" "Runway" (job OR hiring OR careers OR designer) | site:linkedin.com/jobs/view "Unilever" ("Higgsfield" OR "Runway" OR "Firefly")</x:v>
      </x:c>
      <x:c r="F9" s="9" t="str">
        <x:v>https://vn.linkedin.com/jobs/view/creative-designer-at-unilever-4264424140</x:v>
      </x:c>
      <x:c r="G9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9" s="9" t="str">
        <x:v>primary employer/ATS indexed query; public indexed job-board query; LinkedIn-focused query; targeted follow-up on candidates</x:v>
      </x:c>
      <x:c r="I9" s="2" t="str">
        <x:v>2026-10-06</x:v>
      </x:c>
    </x:row>
    <x:row r="10" ht="145" customHeight="1">
      <x:c r="A10" s="2" t="str">
        <x:v>C03</x:v>
      </x:c>
      <x:c r="B10" s="9" t="str">
        <x:v>Unilever</x:v>
      </x:c>
      <x:c r="C10" s="9" t="str">
        <x:v>Firefly</x:v>
      </x:c>
      <x:c r="D10" s="9" t="str">
        <x:v>2 вакансий в основном корпусе</x:v>
      </x:c>
      <x:c r="E10" s="9" t="str">
        <x:v>site:careers.unilever.com "Firefly" (job OR careers OR designer OR content) | "Unilever" "Firefly" (job OR hiring OR careers OR designer) | site:linkedin.com/jobs/view "Unilever" ("Higgsfield" OR "Runway" OR "Firefly")</x:v>
      </x:c>
      <x:c r="F10" s="9" t="str">
        <x:v>https://vn.linkedin.com/jobs/view/creative-designer-at-unilever-4264424140 | https://br.indeed.com/viewjob?jk=b2606683c5200553</x:v>
      </x:c>
      <x:c r="G10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10" s="9" t="str">
        <x:v>primary employer/ATS indexed query; public indexed job-board query; LinkedIn-focused query; targeted follow-up on candidates</x:v>
      </x:c>
      <x:c r="I10" s="2" t="str">
        <x:v>2026-10-06</x:v>
      </x:c>
    </x:row>
    <x:row r="11" ht="145" customHeight="1">
      <x:c r="A11" s="2" t="str">
        <x:v>C04</x:v>
      </x:c>
      <x:c r="B11" s="9" t="str">
        <x:v>PepsiCo</x:v>
      </x:c>
      <x:c r="C11" s="9" t="str">
        <x:v>Higgsfield</x:v>
      </x:c>
      <x:c r="D11" s="9" t="str">
        <x:v>Проверенных упоминаний в основном корпусе не найдено</x:v>
      </x:c>
      <x:c r="E11" s="9" t="str">
        <x:v>site:pepsicojobs.com "Higgsfield" (job OR careers OR designer OR content) | "PepsiCo" "Higgsfield" (job OR hiring OR careers OR designer) | site:linkedin.com/jobs/view "PepsiCo" ("Higgsfield" OR "Runway" OR "Firefly")</x:v>
      </x:c>
      <x:c r="F11" s="9" t="str">
        <x:v>primary employer/ATS indexed query; public indexed job-board query; LinkedIn-focused query; targeted follow-up on candidates</x:v>
      </x:c>
      <x:c r="G11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11" s="9" t="str">
        <x:v>primary employer/ATS indexed query; public indexed job-board query; LinkedIn-focused query; targeted follow-up on candidates</x:v>
      </x:c>
      <x:c r="I11" s="2" t="str">
        <x:v>2026-10-06</x:v>
      </x:c>
    </x:row>
    <x:row r="12" ht="145" customHeight="1">
      <x:c r="A12" s="2" t="str">
        <x:v>C04</x:v>
      </x:c>
      <x:c r="B12" s="9" t="str">
        <x:v>PepsiCo</x:v>
      </x:c>
      <x:c r="C12" s="9" t="str">
        <x:v>Runway</x:v>
      </x:c>
      <x:c r="D12" s="9" t="str">
        <x:v>Проверенных упоминаний в основном корпусе не найдено</x:v>
      </x:c>
      <x:c r="E12" s="9" t="str">
        <x:v>site:pepsicojobs.com "Runway" (job OR careers OR designer OR content) | "PepsiCo" "Runway" (job OR hiring OR careers OR designer) | site:linkedin.com/jobs/view "PepsiCo" ("Higgsfield" OR "Runway" OR "Firefly")</x:v>
      </x:c>
      <x:c r="F12" s="9" t="str">
        <x:v>primary employer/ATS indexed query; public indexed job-board query; LinkedIn-focused query; targeted follow-up on candidates</x:v>
      </x:c>
      <x:c r="G12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12" s="9" t="str">
        <x:v>primary employer/ATS indexed query; public indexed job-board query; LinkedIn-focused query; targeted follow-up on candidates</x:v>
      </x:c>
      <x:c r="I12" s="2" t="str">
        <x:v>2026-10-06</x:v>
      </x:c>
    </x:row>
    <x:row r="13" ht="145" customHeight="1">
      <x:c r="A13" s="2" t="str">
        <x:v>C04</x:v>
      </x:c>
      <x:c r="B13" s="9" t="str">
        <x:v>PepsiCo</x:v>
      </x:c>
      <x:c r="C13" s="9" t="str">
        <x:v>Firefly</x:v>
      </x:c>
      <x:c r="D13" s="9" t="str">
        <x:v>5 вакансий в основном корпусе</x:v>
      </x:c>
      <x:c r="E13" s="9" t="str">
        <x:v>site:pepsicojobs.com "Firefly" (job OR careers OR designer OR content) | "PepsiCo" "Firefly" (job OR hiring OR careers OR designer) | site:linkedin.com/jobs/view "PepsiCo" ("Higgsfield" OR "Runway" OR "Firefly")</x:v>
      </x:c>
      <x:c r="F13" s="9" t="str">
        <x:v>https://www.linkedin.com/jobs/view/brand-design-manager-at-pepsico-4448473958 | https://jobs.weekday.works/pepsico-senior-designer | https://jobs.joinimagine.com/companies/pepsico/jobs/76822971-senior-brand-designer | https://jobs.joinimagine.com/companies/pepsico/jobs/72101829-associate-brand-designer | https://jobs.joinimagine.com/companies/pepsico/jobs/66669596-senior-designer-food-ventures</x:v>
      </x:c>
      <x:c r="G13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13" s="9" t="str">
        <x:v>primary employer/ATS indexed query; public indexed job-board query; LinkedIn-focused query; targeted follow-up on candidates</x:v>
      </x:c>
      <x:c r="I13" s="2" t="str">
        <x:v>2026-10-06</x:v>
      </x:c>
    </x:row>
    <x:row r="14" ht="145" customHeight="1">
      <x:c r="A14" s="2" t="str">
        <x:v>C05</x:v>
      </x:c>
      <x:c r="B14" s="9" t="str">
        <x:v>Coca-Cola</x:v>
      </x:c>
      <x:c r="C14" s="9" t="str">
        <x:v>Higgsfield</x:v>
      </x:c>
      <x:c r="D14" s="9" t="str">
        <x:v>Проверенных упоминаний в основном корпусе не найдено</x:v>
      </x:c>
      <x:c r="E14" s="9" t="str">
        <x:v>site:careers.coca-colacompany.com "Higgsfield" (job OR careers OR designer OR content) | "Coca-Cola" "Higgsfield" (job OR hiring OR careers OR designer) | site:linkedin.com/jobs/view "Coca-Cola" ("Higgsfield" OR "Runway" OR "Firefly")</x:v>
      </x:c>
      <x:c r="F14" s="9" t="str">
        <x:v>primary employer/ATS indexed query; public indexed job-board query; LinkedIn-focused query; targeted follow-up on candidates</x:v>
      </x:c>
      <x:c r="G14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14" s="9" t="str">
        <x:v>primary employer/ATS indexed query; public indexed job-board query; LinkedIn-focused query; targeted follow-up on candidates</x:v>
      </x:c>
      <x:c r="I14" s="2" t="str">
        <x:v>2026-10-06</x:v>
      </x:c>
    </x:row>
    <x:row r="15" ht="145" customHeight="1">
      <x:c r="A15" s="2" t="str">
        <x:v>C05</x:v>
      </x:c>
      <x:c r="B15" s="9" t="str">
        <x:v>Coca-Cola</x:v>
      </x:c>
      <x:c r="C15" s="9" t="str">
        <x:v>Runway</x:v>
      </x:c>
      <x:c r="D15" s="9" t="str">
        <x:v>1 вакансий в основном корпусе</x:v>
      </x:c>
      <x:c r="E15" s="9" t="str">
        <x:v>site:careers.coca-colacompany.com "Runway" (job OR careers OR designer OR content) | "Coca-Cola" "Runway" (job OR hiring OR careers OR designer) | site:linkedin.com/jobs/view "Coca-Cola" ("Higgsfield" OR "Runway" OR "Firefly")</x:v>
      </x:c>
      <x:c r="F15" s="9" t="str">
        <x:v>https://www.linkedin.com/jobs/view/senior-director-global-studiox-%E2%80%93-workflows-and-content-solutions-at-the-coca-cola-company-4420296536</x:v>
      </x:c>
      <x:c r="G15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15" s="9" t="str">
        <x:v>primary employer/ATS indexed query; public indexed job-board query; LinkedIn-focused query; targeted follow-up on candidates</x:v>
      </x:c>
      <x:c r="I15" s="2" t="str">
        <x:v>2026-10-06</x:v>
      </x:c>
    </x:row>
    <x:row r="16" ht="145" customHeight="1">
      <x:c r="A16" s="2" t="str">
        <x:v>C05</x:v>
      </x:c>
      <x:c r="B16" s="9" t="str">
        <x:v>Coca-Cola</x:v>
      </x:c>
      <x:c r="C16" s="9" t="str">
        <x:v>Firefly</x:v>
      </x:c>
      <x:c r="D16" s="9" t="str">
        <x:v>3 вакансий в основном корпусе; 1 вне основного корпуса</x:v>
      </x:c>
      <x:c r="E16" s="9" t="str">
        <x:v>site:careers.coca-colacompany.com "Firefly" (job OR careers OR designer OR content) | "Coca-Cola" "Firefly" (job OR hiring OR careers OR designer) | site:linkedin.com/jobs/view "Coca-Cola" ("Higgsfield" OR "Runway" OR "Firefly")</x:v>
      </x:c>
      <x:c r="F16" s="9" t="str">
        <x:v>https://jobpromax.com/jobs/creative_technologist_senior_manager_334313 | https://www.themuse.com/jobs/thecocacolacompany/creative-technologist-manager-8f4437 | https://digitalassetmanagementnews.org/job/creative-adaptation-technologist-senior-manager/ | https://builtin.com/job/senior-director-i-creative-operations/8229036</x:v>
      </x:c>
      <x:c r="G16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16" s="9" t="str">
        <x:v>primary employer/ATS indexed query; public indexed job-board query; LinkedIn-focused query; targeted follow-up on candidates</x:v>
      </x:c>
      <x:c r="I16" s="2" t="str">
        <x:v>2026-10-06</x:v>
      </x:c>
    </x:row>
    <x:row r="17" ht="145" customHeight="1">
      <x:c r="A17" s="2" t="str">
        <x:v>C06</x:v>
      </x:c>
      <x:c r="B17" s="9" t="str">
        <x:v>AB InBev</x:v>
      </x:c>
      <x:c r="C17" s="9" t="str">
        <x:v>Higgsfield</x:v>
      </x:c>
      <x:c r="D17" s="9" t="str">
        <x:v>Проверенных упоминаний в основном корпусе не найдено</x:v>
      </x:c>
      <x:c r="E17" s="9" t="str">
        <x:v>site:careers.ab-inbev.com "Higgsfield" (job OR careers OR designer OR content) | "AB InBev" "Higgsfield" (job OR hiring OR careers OR designer) | site:linkedin.com/jobs/view "AB InBev" ("Higgsfield" OR "Runway" OR "Firefly")</x:v>
      </x:c>
      <x:c r="F17" s="9" t="str">
        <x:v>primary employer/ATS indexed query; public indexed job-board query; LinkedIn-focused query; targeted follow-up on candidates</x:v>
      </x:c>
      <x:c r="G17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17" s="9" t="str">
        <x:v>primary employer/ATS indexed query; public indexed job-board query; LinkedIn-focused query; targeted follow-up on candidates</x:v>
      </x:c>
      <x:c r="I17" s="2" t="str">
        <x:v>2026-10-06</x:v>
      </x:c>
    </x:row>
    <x:row r="18" ht="145" customHeight="1">
      <x:c r="A18" s="2" t="str">
        <x:v>C06</x:v>
      </x:c>
      <x:c r="B18" s="9" t="str">
        <x:v>AB InBev</x:v>
      </x:c>
      <x:c r="C18" s="9" t="str">
        <x:v>Runway</x:v>
      </x:c>
      <x:c r="D18" s="9" t="str">
        <x:v>Проверенных упоминаний в основном корпусе не найдено</x:v>
      </x:c>
      <x:c r="E18" s="9" t="str">
        <x:v>site:careers.ab-inbev.com "Runway" (job OR careers OR designer OR content) | "AB InBev" "Runway" (job OR hiring OR careers OR designer) | site:linkedin.com/jobs/view "AB InBev" ("Higgsfield" OR "Runway" OR "Firefly")</x:v>
      </x:c>
      <x:c r="F18" s="9" t="str">
        <x:v>primary employer/ATS indexed query; public indexed job-board query; LinkedIn-focused query; targeted follow-up on candidates</x:v>
      </x:c>
      <x:c r="G18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18" s="9" t="str">
        <x:v>primary employer/ATS indexed query; public indexed job-board query; LinkedIn-focused query; targeted follow-up on candidates</x:v>
      </x:c>
      <x:c r="I18" s="2" t="str">
        <x:v>2026-10-06</x:v>
      </x:c>
    </x:row>
    <x:row r="19" ht="145" customHeight="1">
      <x:c r="A19" s="2" t="str">
        <x:v>C06</x:v>
      </x:c>
      <x:c r="B19" s="9" t="str">
        <x:v>AB InBev</x:v>
      </x:c>
      <x:c r="C19" s="9" t="str">
        <x:v>Firefly</x:v>
      </x:c>
      <x:c r="D19" s="9" t="str">
        <x:v>Проверенных упоминаний в основном корпусе не найдено</x:v>
      </x:c>
      <x:c r="E19" s="9" t="str">
        <x:v>site:careers.ab-inbev.com "Firefly" (job OR careers OR designer OR content) | "AB InBev" "Firefly" (job OR hiring OR careers OR designer) | site:linkedin.com/jobs/view "AB InBev" ("Higgsfield" OR "Runway" OR "Firefly")</x:v>
      </x:c>
      <x:c r="F19" s="9" t="str">
        <x:v>primary employer/ATS indexed query; public indexed job-board query; LinkedIn-focused query; targeted follow-up on candidates</x:v>
      </x:c>
      <x:c r="G19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19" s="9" t="str">
        <x:v>primary employer/ATS indexed query; public indexed job-board query; LinkedIn-focused query; targeted follow-up on candidates</x:v>
      </x:c>
      <x:c r="I19" s="2" t="str">
        <x:v>2026-10-06</x:v>
      </x:c>
    </x:row>
    <x:row r="20" ht="145" customHeight="1">
      <x:c r="A20" s="2" t="str">
        <x:v>C07</x:v>
      </x:c>
      <x:c r="B20" s="9" t="str">
        <x:v>L’Oréal</x:v>
      </x:c>
      <x:c r="C20" s="9" t="str">
        <x:v>Higgsfield</x:v>
      </x:c>
      <x:c r="D20" s="9" t="str">
        <x:v>Проверенных упоминаний в основном корпусе не найдено</x:v>
      </x:c>
      <x:c r="E20" s="9" t="str">
        <x:v>site:careers.loreal.com "Higgsfield" (job OR careers OR designer OR content) | "L'Oreal" "Higgsfield" (job OR hiring OR careers OR designer) | site:linkedin.com/jobs/view "L'Oreal" ("Higgsfield" OR "Runway" OR "Firefly")</x:v>
      </x:c>
      <x:c r="F20" s="9" t="str">
        <x:v>primary employer/ATS indexed query; public indexed job-board query; LinkedIn-focused query; targeted follow-up on candidates</x:v>
      </x:c>
      <x:c r="G20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20" s="9" t="str">
        <x:v>primary employer/ATS indexed query; public indexed job-board query; LinkedIn-focused query; targeted follow-up on candidates</x:v>
      </x:c>
      <x:c r="I20" s="2" t="str">
        <x:v>2026-10-06</x:v>
      </x:c>
    </x:row>
    <x:row r="21" ht="145" customHeight="1">
      <x:c r="A21" s="2" t="str">
        <x:v>C07</x:v>
      </x:c>
      <x:c r="B21" s="9" t="str">
        <x:v>L’Oréal</x:v>
      </x:c>
      <x:c r="C21" s="9" t="str">
        <x:v>Runway</x:v>
      </x:c>
      <x:c r="D21" s="9" t="str">
        <x:v>1 вакансий в основном корпусе</x:v>
      </x:c>
      <x:c r="E21" s="9" t="str">
        <x:v>site:careers.loreal.com "Runway" (job OR careers OR designer OR content) | "L'Oreal" "Runway" (job OR hiring OR careers OR designer) | site:linkedin.com/jobs/view "L'Oreal" ("Higgsfield" OR "Runway" OR "Firefly")</x:v>
      </x:c>
      <x:c r="F21" s="9" t="str">
        <x:v>https://www.linkedin.com/jobs/view/ai-production-designer-saloncentric-at-l-or%C3%A9al-4396376184</x:v>
      </x:c>
      <x:c r="G21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21" s="9" t="str">
        <x:v>primary employer/ATS indexed query; public indexed job-board query; LinkedIn-focused query; targeted follow-up on candidates</x:v>
      </x:c>
      <x:c r="I21" s="2" t="str">
        <x:v>2026-10-06</x:v>
      </x:c>
    </x:row>
    <x:row r="22" ht="145" customHeight="1">
      <x:c r="A22" s="2" t="str">
        <x:v>C07</x:v>
      </x:c>
      <x:c r="B22" s="9" t="str">
        <x:v>L’Oréal</x:v>
      </x:c>
      <x:c r="C22" s="9" t="str">
        <x:v>Firefly</x:v>
      </x:c>
      <x:c r="D22" s="9" t="str">
        <x:v>2 вакансий в основном корпусе</x:v>
      </x:c>
      <x:c r="E22" s="9" t="str">
        <x:v>site:careers.loreal.com "Firefly" (job OR careers OR designer OR content) | "L'Oreal" "Firefly" (job OR hiring OR careers OR designer) | site:linkedin.com/jobs/view "L'Oreal" ("Higgsfield" OR "Runway" OR "Firefly")</x:v>
      </x:c>
      <x:c r="F22" s="9" t="str">
        <x:v>https://www.linkedin.com/jobs/view/ai-production-designer-saloncentric-at-l-or%C3%A9al-4396376184 | https://jobs.joinimagine.com/companies/loreal-2/jobs/93737512-manager-content-designer-kiehl-s</x:v>
      </x:c>
      <x:c r="G22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22" s="9" t="str">
        <x:v>primary employer/ATS indexed query; public indexed job-board query; LinkedIn-focused query; targeted follow-up on candidates</x:v>
      </x:c>
      <x:c r="I22" s="2" t="str">
        <x:v>2026-10-06</x:v>
      </x:c>
    </x:row>
    <x:row r="23" ht="145" customHeight="1">
      <x:c r="A23" s="2" t="str">
        <x:v>C08</x:v>
      </x:c>
      <x:c r="B23" s="9" t="str">
        <x:v>Mondelez International</x:v>
      </x:c>
      <x:c r="C23" s="9" t="str">
        <x:v>Higgsfield</x:v>
      </x:c>
      <x:c r="D23" s="9" t="str">
        <x:v>Проверенных упоминаний в основном корпусе не найдено</x:v>
      </x:c>
      <x:c r="E23" s="9" t="str">
        <x:v>site:careers.mondelezinternational.com "Higgsfield" (job OR careers OR designer OR content) | "Mondelez" "Higgsfield" (job OR hiring OR careers OR designer) | site:linkedin.com/jobs/view "Mondelez" ("Higgsfield" OR "Runway" OR "Firefly")</x:v>
      </x:c>
      <x:c r="F23" s="9" t="str">
        <x:v>primary employer/ATS indexed query; public indexed job-board query; LinkedIn-focused query; targeted follow-up on candidates</x:v>
      </x:c>
      <x:c r="G23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23" s="9" t="str">
        <x:v>primary employer/ATS indexed query; public indexed job-board query; LinkedIn-focused query; targeted follow-up on candidates</x:v>
      </x:c>
      <x:c r="I23" s="2" t="str">
        <x:v>2026-10-06</x:v>
      </x:c>
    </x:row>
    <x:row r="24" ht="145" customHeight="1">
      <x:c r="A24" s="2" t="str">
        <x:v>C08</x:v>
      </x:c>
      <x:c r="B24" s="9" t="str">
        <x:v>Mondelez International</x:v>
      </x:c>
      <x:c r="C24" s="9" t="str">
        <x:v>Runway</x:v>
      </x:c>
      <x:c r="D24" s="9" t="str">
        <x:v>Проверенных упоминаний в основном корпусе не найдено</x:v>
      </x:c>
      <x:c r="E24" s="9" t="str">
        <x:v>site:careers.mondelezinternational.com "Runway" (job OR careers OR designer OR content) | "Mondelez" "Runway" (job OR hiring OR careers OR designer) | site:linkedin.com/jobs/view "Mondelez" ("Higgsfield" OR "Runway" OR "Firefly")</x:v>
      </x:c>
      <x:c r="F24" s="9" t="str">
        <x:v>primary employer/ATS indexed query; public indexed job-board query; LinkedIn-focused query; targeted follow-up on candidates</x:v>
      </x:c>
      <x:c r="G24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24" s="9" t="str">
        <x:v>primary employer/ATS indexed query; public indexed job-board query; LinkedIn-focused query; targeted follow-up on candidates</x:v>
      </x:c>
      <x:c r="I24" s="2" t="str">
        <x:v>2026-10-06</x:v>
      </x:c>
    </x:row>
    <x:row r="25" ht="145" customHeight="1">
      <x:c r="A25" s="2" t="str">
        <x:v>C08</x:v>
      </x:c>
      <x:c r="B25" s="9" t="str">
        <x:v>Mondelez International</x:v>
      </x:c>
      <x:c r="C25" s="9" t="str">
        <x:v>Firefly</x:v>
      </x:c>
      <x:c r="D25" s="9" t="str">
        <x:v>Проверенных упоминаний в основном корпусе не найдено</x:v>
      </x:c>
      <x:c r="E25" s="9" t="str">
        <x:v>site:careers.mondelezinternational.com "Firefly" (job OR careers OR designer OR content) | "Mondelez" "Firefly" (job OR hiring OR careers OR designer) | site:linkedin.com/jobs/view "Mondelez" ("Higgsfield" OR "Runway" OR "Firefly")</x:v>
      </x:c>
      <x:c r="F25" s="9" t="str">
        <x:v>primary employer/ATS indexed query; public indexed job-board query; LinkedIn-focused query; targeted follow-up on candidates</x:v>
      </x:c>
      <x:c r="G25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25" s="9" t="str">
        <x:v>primary employer/ATS indexed query; public indexed job-board query; LinkedIn-focused query; targeted follow-up on candidates</x:v>
      </x:c>
      <x:c r="I25" s="2" t="str">
        <x:v>2026-10-06</x:v>
      </x:c>
    </x:row>
    <x:row r="26" ht="145" customHeight="1">
      <x:c r="A26" s="2" t="str">
        <x:v>C09</x:v>
      </x:c>
      <x:c r="B26" s="9" t="str">
        <x:v>Danone</x:v>
      </x:c>
      <x:c r="C26" s="9" t="str">
        <x:v>Higgsfield</x:v>
      </x:c>
      <x:c r="D26" s="9" t="str">
        <x:v>Проверенных упоминаний в основном корпусе не найдено</x:v>
      </x:c>
      <x:c r="E26" s="9" t="str">
        <x:v>site:careers.danone.com "Higgsfield" (job OR careers OR designer OR content) | "Danone" "Higgsfield" (job OR hiring OR careers OR designer) | site:linkedin.com/jobs/view "Danone" ("Higgsfield" OR "Runway" OR "Firefly")</x:v>
      </x:c>
      <x:c r="F26" s="9" t="str">
        <x:v>primary employer/ATS indexed query; public indexed job-board query; LinkedIn-focused query; targeted follow-up on candidates</x:v>
      </x:c>
      <x:c r="G26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26" s="9" t="str">
        <x:v>primary employer/ATS indexed query; public indexed job-board query; LinkedIn-focused query; targeted follow-up on candidates</x:v>
      </x:c>
      <x:c r="I26" s="2" t="str">
        <x:v>2026-10-06</x:v>
      </x:c>
    </x:row>
    <x:row r="27" ht="145" customHeight="1">
      <x:c r="A27" s="2" t="str">
        <x:v>C09</x:v>
      </x:c>
      <x:c r="B27" s="9" t="str">
        <x:v>Danone</x:v>
      </x:c>
      <x:c r="C27" s="9" t="str">
        <x:v>Runway</x:v>
      </x:c>
      <x:c r="D27" s="9" t="str">
        <x:v>Проверенных упоминаний в основном корпусе не найдено</x:v>
      </x:c>
      <x:c r="E27" s="9" t="str">
        <x:v>site:careers.danone.com "Runway" (job OR careers OR designer OR content) | "Danone" "Runway" (job OR hiring OR careers OR designer) | site:linkedin.com/jobs/view "Danone" ("Higgsfield" OR "Runway" OR "Firefly")</x:v>
      </x:c>
      <x:c r="F27" s="9" t="str">
        <x:v>primary employer/ATS indexed query; public indexed job-board query; LinkedIn-focused query; targeted follow-up on candidates</x:v>
      </x:c>
      <x:c r="G27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27" s="9" t="str">
        <x:v>primary employer/ATS indexed query; public indexed job-board query; LinkedIn-focused query; targeted follow-up on candidates</x:v>
      </x:c>
      <x:c r="I27" s="2" t="str">
        <x:v>2026-10-06</x:v>
      </x:c>
    </x:row>
    <x:row r="28" ht="145" customHeight="1">
      <x:c r="A28" s="2" t="str">
        <x:v>C09</x:v>
      </x:c>
      <x:c r="B28" s="9" t="str">
        <x:v>Danone</x:v>
      </x:c>
      <x:c r="C28" s="9" t="str">
        <x:v>Firefly</x:v>
      </x:c>
      <x:c r="D28" s="9" t="str">
        <x:v>Проверенных упоминаний в основном корпусе не найдено</x:v>
      </x:c>
      <x:c r="E28" s="9" t="str">
        <x:v>site:careers.danone.com "Firefly" (job OR careers OR designer OR content) | "Danone" "Firefly" (job OR hiring OR careers OR designer) | site:linkedin.com/jobs/view "Danone" ("Higgsfield" OR "Runway" OR "Firefly")</x:v>
      </x:c>
      <x:c r="F28" s="9" t="str">
        <x:v>primary employer/ATS indexed query; public indexed job-board query; LinkedIn-focused query; targeted follow-up on candidates</x:v>
      </x:c>
      <x:c r="G28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28" s="9" t="str">
        <x:v>primary employer/ATS indexed query; public indexed job-board query; LinkedIn-focused query; targeted follow-up on candidates</x:v>
      </x:c>
      <x:c r="I28" s="2" t="str">
        <x:v>2026-10-06</x:v>
      </x:c>
    </x:row>
    <x:row r="29" ht="145" customHeight="1">
      <x:c r="A29" s="2" t="str">
        <x:v>C10</x:v>
      </x:c>
      <x:c r="B29" s="9" t="str">
        <x:v>Kraft Heinz</x:v>
      </x:c>
      <x:c r="C29" s="9" t="str">
        <x:v>Higgsfield</x:v>
      </x:c>
      <x:c r="D29" s="9" t="str">
        <x:v>Проверенных упоминаний в основном корпусе не найдено</x:v>
      </x:c>
      <x:c r="E29" s="9" t="str">
        <x:v>site:careers.kraftheinz.com "Higgsfield" (job OR careers OR designer OR content) | "Kraft Heinz" "Higgsfield" (job OR hiring OR careers OR designer) | site:linkedin.com/jobs/view "Kraft Heinz" ("Higgsfield" OR "Runway" OR "Firefly")</x:v>
      </x:c>
      <x:c r="F29" s="9" t="str">
        <x:v>primary employer/ATS indexed query; public indexed job-board query; LinkedIn-focused query; targeted follow-up on candidates</x:v>
      </x:c>
      <x:c r="G29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29" s="9" t="str">
        <x:v>primary employer/ATS indexed query; public indexed job-board query; LinkedIn-focused query; targeted follow-up on candidates</x:v>
      </x:c>
      <x:c r="I29" s="2" t="str">
        <x:v>2026-10-06</x:v>
      </x:c>
    </x:row>
    <x:row r="30" ht="145" customHeight="1">
      <x:c r="A30" s="2" t="str">
        <x:v>C10</x:v>
      </x:c>
      <x:c r="B30" s="9" t="str">
        <x:v>Kraft Heinz</x:v>
      </x:c>
      <x:c r="C30" s="9" t="str">
        <x:v>Runway</x:v>
      </x:c>
      <x:c r="D30" s="9" t="str">
        <x:v>Проверенных упоминаний в основном корпусе не найдено</x:v>
      </x:c>
      <x:c r="E30" s="9" t="str">
        <x:v>site:careers.kraftheinz.com "Runway" (job OR careers OR designer OR content) | "Kraft Heinz" "Runway" (job OR hiring OR careers OR designer) | site:linkedin.com/jobs/view "Kraft Heinz" ("Higgsfield" OR "Runway" OR "Firefly")</x:v>
      </x:c>
      <x:c r="F30" s="9" t="str">
        <x:v>primary employer/ATS indexed query; public indexed job-board query; LinkedIn-focused query; targeted follow-up on candidates</x:v>
      </x:c>
      <x:c r="G30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30" s="9" t="str">
        <x:v>primary employer/ATS indexed query; public indexed job-board query; LinkedIn-focused query; targeted follow-up on candidates</x:v>
      </x:c>
      <x:c r="I30" s="2" t="str">
        <x:v>2026-10-06</x:v>
      </x:c>
    </x:row>
    <x:row r="31" ht="145" customHeight="1">
      <x:c r="A31" s="2" t="str">
        <x:v>C10</x:v>
      </x:c>
      <x:c r="B31" s="9" t="str">
        <x:v>Kraft Heinz</x:v>
      </x:c>
      <x:c r="C31" s="9" t="str">
        <x:v>Firefly</x:v>
      </x:c>
      <x:c r="D31" s="9" t="str">
        <x:v>Проверенных упоминаний в основном корпусе не найдено</x:v>
      </x:c>
      <x:c r="E31" s="9" t="str">
        <x:v>site:careers.kraftheinz.com "Firefly" (job OR careers OR designer OR content) | "Kraft Heinz" "Firefly" (job OR hiring OR careers OR designer) | site:linkedin.com/jobs/view "Kraft Heinz" ("Higgsfield" OR "Runway" OR "Firefly")</x:v>
      </x:c>
      <x:c r="F31" s="9" t="str">
        <x:v>primary employer/ATS indexed query; public indexed job-board query; LinkedIn-focused query; targeted follow-up on candidates</x:v>
      </x:c>
      <x:c r="G31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31" s="9" t="str">
        <x:v>primary employer/ATS indexed query; public indexed job-board query; LinkedIn-focused query; targeted follow-up on candidates</x:v>
      </x:c>
      <x:c r="I31" s="2" t="str">
        <x:v>2026-10-06</x:v>
      </x:c>
    </x:row>
    <x:row r="32" ht="145" customHeight="1">
      <x:c r="A32" s="2" t="str">
        <x:v>C11</x:v>
      </x:c>
      <x:c r="B32" s="9" t="str">
        <x:v>General Mills</x:v>
      </x:c>
      <x:c r="C32" s="9" t="str">
        <x:v>Higgsfield</x:v>
      </x:c>
      <x:c r="D32" s="9" t="str">
        <x:v>Проверенных упоминаний в основном корпусе не найдено</x:v>
      </x:c>
      <x:c r="E32" s="9" t="str">
        <x:v>site:careers.generalmills.com "Higgsfield" (job OR careers OR designer OR content) | "General Mills" "Higgsfield" (job OR hiring OR careers OR designer) | site:linkedin.com/jobs/view "General Mills" ("Higgsfield" OR "Runway" OR "Firefly")</x:v>
      </x:c>
      <x:c r="F32" s="9" t="str">
        <x:v>primary employer/ATS indexed query; public indexed job-board query; LinkedIn-focused query; targeted follow-up on candidates</x:v>
      </x:c>
      <x:c r="G32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32" s="9" t="str">
        <x:v>primary employer/ATS indexed query; public indexed job-board query; LinkedIn-focused query; targeted follow-up on candidates</x:v>
      </x:c>
      <x:c r="I32" s="2" t="str">
        <x:v>2026-10-06</x:v>
      </x:c>
    </x:row>
    <x:row r="33" ht="145" customHeight="1">
      <x:c r="A33" s="2" t="str">
        <x:v>C11</x:v>
      </x:c>
      <x:c r="B33" s="9" t="str">
        <x:v>General Mills</x:v>
      </x:c>
      <x:c r="C33" s="9" t="str">
        <x:v>Runway</x:v>
      </x:c>
      <x:c r="D33" s="9" t="str">
        <x:v>Проверенных упоминаний в основном корпусе не найдено</x:v>
      </x:c>
      <x:c r="E33" s="9" t="str">
        <x:v>site:careers.generalmills.com "Runway" (job OR careers OR designer OR content) | "General Mills" "Runway" (job OR hiring OR careers OR designer) | site:linkedin.com/jobs/view "General Mills" ("Higgsfield" OR "Runway" OR "Firefly")</x:v>
      </x:c>
      <x:c r="F33" s="9" t="str">
        <x:v>primary employer/ATS indexed query; public indexed job-board query; LinkedIn-focused query; targeted follow-up on candidates</x:v>
      </x:c>
      <x:c r="G33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33" s="9" t="str">
        <x:v>primary employer/ATS indexed query; public indexed job-board query; LinkedIn-focused query; targeted follow-up on candidates</x:v>
      </x:c>
      <x:c r="I33" s="2" t="str">
        <x:v>2026-10-06</x:v>
      </x:c>
    </x:row>
    <x:row r="34" ht="145" customHeight="1">
      <x:c r="A34" s="2" t="str">
        <x:v>C11</x:v>
      </x:c>
      <x:c r="B34" s="9" t="str">
        <x:v>General Mills</x:v>
      </x:c>
      <x:c r="C34" s="9" t="str">
        <x:v>Firefly</x:v>
      </x:c>
      <x:c r="D34" s="9" t="str">
        <x:v>Проверенных упоминаний в основном корпусе не найдено</x:v>
      </x:c>
      <x:c r="E34" s="9" t="str">
        <x:v>site:careers.generalmills.com "Firefly" (job OR careers OR designer OR content) | "General Mills" "Firefly" (job OR hiring OR careers OR designer) | site:linkedin.com/jobs/view "General Mills" ("Higgsfield" OR "Runway" OR "Firefly")</x:v>
      </x:c>
      <x:c r="F34" s="9" t="str">
        <x:v>primary employer/ATS indexed query; public indexed job-board query; LinkedIn-focused query; targeted follow-up on candidates</x:v>
      </x:c>
      <x:c r="G34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34" s="9" t="str">
        <x:v>primary employer/ATS indexed query; public indexed job-board query; LinkedIn-focused query; targeted follow-up on candidates</x:v>
      </x:c>
      <x:c r="I34" s="2" t="str">
        <x:v>2026-10-06</x:v>
      </x:c>
    </x:row>
    <x:row r="35" ht="145" customHeight="1">
      <x:c r="A35" s="2" t="str">
        <x:v>C12</x:v>
      </x:c>
      <x:c r="B35" s="9" t="str">
        <x:v>Mars</x:v>
      </x:c>
      <x:c r="C35" s="9" t="str">
        <x:v>Higgsfield</x:v>
      </x:c>
      <x:c r="D35" s="9" t="str">
        <x:v>Проверенных упоминаний в основном корпусе не найдено</x:v>
      </x:c>
      <x:c r="E35" s="9" t="str">
        <x:v>site:careers.mars.com "Higgsfield" (job OR careers OR designer OR content) | "Mars" "Higgsfield" (job OR hiring OR careers OR designer) | site:linkedin.com/jobs/view "Mars" ("Higgsfield" OR "Runway" OR "Firefly")</x:v>
      </x:c>
      <x:c r="F35" s="9" t="str">
        <x:v>primary employer/ATS indexed query; public indexed job-board query; LinkedIn-focused query; targeted follow-up on candidates</x:v>
      </x:c>
      <x:c r="G35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35" s="9" t="str">
        <x:v>primary employer/ATS indexed query; public indexed job-board query; LinkedIn-focused query; targeted follow-up on candidates</x:v>
      </x:c>
      <x:c r="I35" s="2" t="str">
        <x:v>2026-10-06</x:v>
      </x:c>
    </x:row>
    <x:row r="36" ht="145" customHeight="1">
      <x:c r="A36" s="2" t="str">
        <x:v>C12</x:v>
      </x:c>
      <x:c r="B36" s="9" t="str">
        <x:v>Mars</x:v>
      </x:c>
      <x:c r="C36" s="9" t="str">
        <x:v>Runway</x:v>
      </x:c>
      <x:c r="D36" s="9" t="str">
        <x:v>Проверенных упоминаний в основном корпусе не найдено</x:v>
      </x:c>
      <x:c r="E36" s="9" t="str">
        <x:v>site:careers.mars.com "Runway" (job OR careers OR designer OR content) | "Mars" "Runway" (job OR hiring OR careers OR designer) | site:linkedin.com/jobs/view "Mars" ("Higgsfield" OR "Runway" OR "Firefly")</x:v>
      </x:c>
      <x:c r="F36" s="9" t="str">
        <x:v>primary employer/ATS indexed query; public indexed job-board query; LinkedIn-focused query; targeted follow-up on candidates</x:v>
      </x:c>
      <x:c r="G36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36" s="9" t="str">
        <x:v>primary employer/ATS indexed query; public indexed job-board query; LinkedIn-focused query; targeted follow-up on candidates</x:v>
      </x:c>
      <x:c r="I36" s="2" t="str">
        <x:v>2026-10-06</x:v>
      </x:c>
    </x:row>
    <x:row r="37" ht="145" customHeight="1">
      <x:c r="A37" s="2" t="str">
        <x:v>C12</x:v>
      </x:c>
      <x:c r="B37" s="9" t="str">
        <x:v>Mars</x:v>
      </x:c>
      <x:c r="C37" s="9" t="str">
        <x:v>Firefly</x:v>
      </x:c>
      <x:c r="D37" s="9" t="str">
        <x:v>Проверенных упоминаний в основном корпусе не найдено</x:v>
      </x:c>
      <x:c r="E37" s="9" t="str">
        <x:v>site:careers.mars.com "Firefly" (job OR careers OR designer OR content) | "Mars" "Firefly" (job OR hiring OR careers OR designer) | site:linkedin.com/jobs/view "Mars" ("Higgsfield" OR "Runway" OR "Firefly")</x:v>
      </x:c>
      <x:c r="F37" s="9" t="str">
        <x:v>primary employer/ATS indexed query; public indexed job-board query; LinkedIn-focused query; targeted follow-up on candidates</x:v>
      </x:c>
      <x:c r="G37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37" s="9" t="str">
        <x:v>primary employer/ATS indexed query; public indexed job-board query; LinkedIn-focused query; targeted follow-up on candidates</x:v>
      </x:c>
      <x:c r="I37" s="2" t="str">
        <x:v>2026-10-06</x:v>
      </x:c>
    </x:row>
    <x:row r="38" ht="145" customHeight="1">
      <x:c r="A38" s="2" t="str">
        <x:v>C13</x:v>
      </x:c>
      <x:c r="B38" s="9" t="str">
        <x:v>Ferrero</x:v>
      </x:c>
      <x:c r="C38" s="9" t="str">
        <x:v>Higgsfield</x:v>
      </x:c>
      <x:c r="D38" s="9" t="str">
        <x:v>Проверенных упоминаний в основном корпусе не найдено</x:v>
      </x:c>
      <x:c r="E38" s="9" t="str">
        <x:v>site:ferrerocareers.com "Higgsfield" (job OR careers OR designer OR content) | "Ferrero" "Higgsfield" (job OR hiring OR careers OR designer) | site:linkedin.com/jobs/view "Ferrero" ("Higgsfield" OR "Runway" OR "Firefly")</x:v>
      </x:c>
      <x:c r="F38" s="9" t="str">
        <x:v>primary employer/ATS indexed query; public indexed job-board query; LinkedIn-focused query; targeted follow-up on candidates</x:v>
      </x:c>
      <x:c r="G38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38" s="9" t="str">
        <x:v>primary employer/ATS indexed query; public indexed job-board query; LinkedIn-focused query; targeted follow-up on candidates</x:v>
      </x:c>
      <x:c r="I38" s="2" t="str">
        <x:v>2026-10-06</x:v>
      </x:c>
    </x:row>
    <x:row r="39" ht="145" customHeight="1">
      <x:c r="A39" s="2" t="str">
        <x:v>C13</x:v>
      </x:c>
      <x:c r="B39" s="9" t="str">
        <x:v>Ferrero</x:v>
      </x:c>
      <x:c r="C39" s="9" t="str">
        <x:v>Runway</x:v>
      </x:c>
      <x:c r="D39" s="9" t="str">
        <x:v>1 вакансий в основном корпусе</x:v>
      </x:c>
      <x:c r="E39" s="9" t="str">
        <x:v>site:ferrerocareers.com "Runway" (job OR careers OR designer OR content) | "Ferrero" "Runway" (job OR hiring OR careers OR designer) | site:linkedin.com/jobs/view "Ferrero" ("Higgsfield" OR "Runway" OR "Firefly")</x:v>
      </x:c>
      <x:c r="F39" s="9" t="str">
        <x:v>https://lu.linkedin.com/jobs/view/digital-ai-content-activation-manager-at-ferrero-4212335638</x:v>
      </x:c>
      <x:c r="G39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39" s="9" t="str">
        <x:v>primary employer/ATS indexed query; public indexed job-board query; LinkedIn-focused query; targeted follow-up on candidates</x:v>
      </x:c>
      <x:c r="I39" s="2" t="str">
        <x:v>2026-10-06</x:v>
      </x:c>
    </x:row>
    <x:row r="40" ht="145" customHeight="1">
      <x:c r="A40" s="2" t="str">
        <x:v>C13</x:v>
      </x:c>
      <x:c r="B40" s="9" t="str">
        <x:v>Ferrero</x:v>
      </x:c>
      <x:c r="C40" s="9" t="str">
        <x:v>Firefly</x:v>
      </x:c>
      <x:c r="D40" s="9" t="str">
        <x:v>Проверенных упоминаний в основном корпусе не найдено</x:v>
      </x:c>
      <x:c r="E40" s="9" t="str">
        <x:v>site:ferrerocareers.com "Firefly" (job OR careers OR designer OR content) | "Ferrero" "Firefly" (job OR hiring OR careers OR designer) | site:linkedin.com/jobs/view "Ferrero" ("Higgsfield" OR "Runway" OR "Firefly")</x:v>
      </x:c>
      <x:c r="F40" s="9" t="str">
        <x:v>primary employer/ATS indexed query; public indexed job-board query; LinkedIn-focused query; targeted follow-up on candidates</x:v>
      </x:c>
      <x:c r="G40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40" s="9" t="str">
        <x:v>primary employer/ATS indexed query; public indexed job-board query; LinkedIn-focused query; targeted follow-up on candidates</x:v>
      </x:c>
      <x:c r="I40" s="2" t="str">
        <x:v>2026-10-06</x:v>
      </x:c>
    </x:row>
    <x:row r="41" ht="145" customHeight="1">
      <x:c r="A41" s="2" t="str">
        <x:v>C14</x:v>
      </x:c>
      <x:c r="B41" s="9" t="str">
        <x:v>Heineken</x:v>
      </x:c>
      <x:c r="C41" s="9" t="str">
        <x:v>Higgsfield</x:v>
      </x:c>
      <x:c r="D41" s="9" t="str">
        <x:v>Проверенных упоминаний в основном корпусе не найдено</x:v>
      </x:c>
      <x:c r="E41" s="9" t="str">
        <x:v>site:careers.theheinekencompany.com "Higgsfield" (job OR careers OR designer OR content) | "Heineken" "Higgsfield" (job OR hiring OR careers OR designer) | site:linkedin.com/jobs/view "Heineken" ("Higgsfield" OR "Runway" OR "Firefly")</x:v>
      </x:c>
      <x:c r="F41" s="9" t="str">
        <x:v>primary employer/ATS indexed query; public indexed job-board query; LinkedIn-focused query; targeted follow-up on candidates</x:v>
      </x:c>
      <x:c r="G41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41" s="9" t="str">
        <x:v>primary employer/ATS indexed query; public indexed job-board query; LinkedIn-focused query; targeted follow-up on candidates</x:v>
      </x:c>
      <x:c r="I41" s="2" t="str">
        <x:v>2026-10-06</x:v>
      </x:c>
    </x:row>
    <x:row r="42" ht="145" customHeight="1">
      <x:c r="A42" s="2" t="str">
        <x:v>C14</x:v>
      </x:c>
      <x:c r="B42" s="9" t="str">
        <x:v>Heineken</x:v>
      </x:c>
      <x:c r="C42" s="9" t="str">
        <x:v>Runway</x:v>
      </x:c>
      <x:c r="D42" s="9" t="str">
        <x:v>Проверенных упоминаний в основном корпусе не найдено</x:v>
      </x:c>
      <x:c r="E42" s="9" t="str">
        <x:v>site:careers.theheinekencompany.com "Runway" (job OR careers OR designer OR content) | "Heineken" "Runway" (job OR hiring OR careers OR designer) | site:linkedin.com/jobs/view "Heineken" ("Higgsfield" OR "Runway" OR "Firefly")</x:v>
      </x:c>
      <x:c r="F42" s="9" t="str">
        <x:v>primary employer/ATS indexed query; public indexed job-board query; LinkedIn-focused query; targeted follow-up on candidates</x:v>
      </x:c>
      <x:c r="G42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42" s="9" t="str">
        <x:v>primary employer/ATS indexed query; public indexed job-board query; LinkedIn-focused query; targeted follow-up on candidates</x:v>
      </x:c>
      <x:c r="I42" s="2" t="str">
        <x:v>2026-10-06</x:v>
      </x:c>
    </x:row>
    <x:row r="43" ht="145" customHeight="1">
      <x:c r="A43" s="2" t="str">
        <x:v>C14</x:v>
      </x:c>
      <x:c r="B43" s="9" t="str">
        <x:v>Heineken</x:v>
      </x:c>
      <x:c r="C43" s="9" t="str">
        <x:v>Firefly</x:v>
      </x:c>
      <x:c r="D43" s="9" t="str">
        <x:v>Проверенных упоминаний в основном корпусе не найдено</x:v>
      </x:c>
      <x:c r="E43" s="9" t="str">
        <x:v>site:careers.theheinekencompany.com "Firefly" (job OR careers OR designer OR content) | "Heineken" "Firefly" (job OR hiring OR careers OR designer) | site:linkedin.com/jobs/view "Heineken" ("Higgsfield" OR "Runway" OR "Firefly")</x:v>
      </x:c>
      <x:c r="F43" s="9" t="str">
        <x:v>primary employer/ATS indexed query; public indexed job-board query; LinkedIn-focused query; targeted follow-up on candidates</x:v>
      </x:c>
      <x:c r="G43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43" s="9" t="str">
        <x:v>primary employer/ATS indexed query; public indexed job-board query; LinkedIn-focused query; targeted follow-up on candidates</x:v>
      </x:c>
      <x:c r="I43" s="2" t="str">
        <x:v>2026-10-06</x:v>
      </x:c>
    </x:row>
    <x:row r="44" ht="145" customHeight="1">
      <x:c r="A44" s="2" t="str">
        <x:v>C15</x:v>
      </x:c>
      <x:c r="B44" s="9" t="str">
        <x:v>Diageo</x:v>
      </x:c>
      <x:c r="C44" s="9" t="str">
        <x:v>Higgsfield</x:v>
      </x:c>
      <x:c r="D44" s="9" t="str">
        <x:v>Проверенных упоминаний в основном корпусе не найдено</x:v>
      </x:c>
      <x:c r="E44" s="9" t="str">
        <x:v>site:diageo.com "Higgsfield" (job OR careers OR designer OR content) | "Diageo" "Higgsfield" (job OR hiring OR careers OR designer) | site:linkedin.com/jobs/view "Diageo" ("Higgsfield" OR "Runway" OR "Firefly")</x:v>
      </x:c>
      <x:c r="F44" s="9" t="str">
        <x:v>primary employer/ATS indexed query; public indexed job-board query; LinkedIn-focused query; targeted follow-up on candidates</x:v>
      </x:c>
      <x:c r="G44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44" s="9" t="str">
        <x:v>primary employer/ATS indexed query; public indexed job-board query; LinkedIn-focused query; targeted follow-up on candidates</x:v>
      </x:c>
      <x:c r="I44" s="2" t="str">
        <x:v>2026-10-06</x:v>
      </x:c>
    </x:row>
    <x:row r="45" ht="145" customHeight="1">
      <x:c r="A45" s="2" t="str">
        <x:v>C15</x:v>
      </x:c>
      <x:c r="B45" s="9" t="str">
        <x:v>Diageo</x:v>
      </x:c>
      <x:c r="C45" s="9" t="str">
        <x:v>Runway</x:v>
      </x:c>
      <x:c r="D45" s="9" t="str">
        <x:v>Проверенных упоминаний в основном корпусе не найдено</x:v>
      </x:c>
      <x:c r="E45" s="9" t="str">
        <x:v>site:diageo.com "Runway" (job OR careers OR designer OR content) | "Diageo" "Runway" (job OR hiring OR careers OR designer) | site:linkedin.com/jobs/view "Diageo" ("Higgsfield" OR "Runway" OR "Firefly")</x:v>
      </x:c>
      <x:c r="F45" s="9" t="str">
        <x:v>primary employer/ATS indexed query; public indexed job-board query; LinkedIn-focused query; targeted follow-up on candidates</x:v>
      </x:c>
      <x:c r="G45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45" s="9" t="str">
        <x:v>primary employer/ATS indexed query; public indexed job-board query; LinkedIn-focused query; targeted follow-up on candidates</x:v>
      </x:c>
      <x:c r="I45" s="2" t="str">
        <x:v>2026-10-06</x:v>
      </x:c>
    </x:row>
    <x:row r="46" ht="145" customHeight="1">
      <x:c r="A46" s="2" t="str">
        <x:v>C15</x:v>
      </x:c>
      <x:c r="B46" s="9" t="str">
        <x:v>Diageo</x:v>
      </x:c>
      <x:c r="C46" s="9" t="str">
        <x:v>Firefly</x:v>
      </x:c>
      <x:c r="D46" s="9" t="str">
        <x:v>Проверенных упоминаний в основном корпусе не найдено</x:v>
      </x:c>
      <x:c r="E46" s="9" t="str">
        <x:v>site:diageo.com "Firefly" (job OR careers OR designer OR content) | "Diageo" "Firefly" (job OR hiring OR careers OR designer) | site:linkedin.com/jobs/view "Diageo" ("Higgsfield" OR "Runway" OR "Firefly")</x:v>
      </x:c>
      <x:c r="F46" s="9" t="str">
        <x:v>primary employer/ATS indexed query; public indexed job-board query; LinkedIn-focused query; targeted follow-up on candidates</x:v>
      </x:c>
      <x:c r="G46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46" s="9" t="str">
        <x:v>primary employer/ATS indexed query; public indexed job-board query; LinkedIn-focused query; targeted follow-up on candidates</x:v>
      </x:c>
      <x:c r="I46" s="2" t="str">
        <x:v>2026-10-06</x:v>
      </x:c>
    </x:row>
    <x:row r="47" ht="145" customHeight="1">
      <x:c r="A47" s="2" t="str">
        <x:v>C16</x:v>
      </x:c>
      <x:c r="B47" s="9" t="str">
        <x:v>Pernod Ricard</x:v>
      </x:c>
      <x:c r="C47" s="9" t="str">
        <x:v>Higgsfield</x:v>
      </x:c>
      <x:c r="D47" s="9" t="str">
        <x:v>Проверенных упоминаний в основном корпусе не найдено</x:v>
      </x:c>
      <x:c r="E47" s="9" t="str">
        <x:v>site:pernod-ricard.com "Higgsfield" (job OR careers OR designer OR content) | "Pernod Ricard" "Higgsfield" (job OR hiring OR careers OR designer) | site:linkedin.com/jobs/view "Pernod Ricard" ("Higgsfield" OR "Runway" OR "Firefly")</x:v>
      </x:c>
      <x:c r="F47" s="9" t="str">
        <x:v>primary employer/ATS indexed query; public indexed job-board query; LinkedIn-focused query; targeted follow-up on candidates</x:v>
      </x:c>
      <x:c r="G47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47" s="9" t="str">
        <x:v>primary employer/ATS indexed query; public indexed job-board query; LinkedIn-focused query; targeted follow-up on candidates</x:v>
      </x:c>
      <x:c r="I47" s="2" t="str">
        <x:v>2026-10-06</x:v>
      </x:c>
    </x:row>
    <x:row r="48" ht="145" customHeight="1">
      <x:c r="A48" s="2" t="str">
        <x:v>C16</x:v>
      </x:c>
      <x:c r="B48" s="9" t="str">
        <x:v>Pernod Ricard</x:v>
      </x:c>
      <x:c r="C48" s="9" t="str">
        <x:v>Runway</x:v>
      </x:c>
      <x:c r="D48" s="9" t="str">
        <x:v>Проверенных упоминаний в основном корпусе не найдено</x:v>
      </x:c>
      <x:c r="E48" s="9" t="str">
        <x:v>site:pernod-ricard.com "Runway" (job OR careers OR designer OR content) | "Pernod Ricard" "Runway" (job OR hiring OR careers OR designer) | site:linkedin.com/jobs/view "Pernod Ricard" ("Higgsfield" OR "Runway" OR "Firefly")</x:v>
      </x:c>
      <x:c r="F48" s="9" t="str">
        <x:v>primary employer/ATS indexed query; public indexed job-board query; LinkedIn-focused query; targeted follow-up on candidates</x:v>
      </x:c>
      <x:c r="G48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48" s="9" t="str">
        <x:v>primary employer/ATS indexed query; public indexed job-board query; LinkedIn-focused query; targeted follow-up on candidates</x:v>
      </x:c>
      <x:c r="I48" s="2" t="str">
        <x:v>2026-10-06</x:v>
      </x:c>
    </x:row>
    <x:row r="49" ht="145" customHeight="1">
      <x:c r="A49" s="2" t="str">
        <x:v>C16</x:v>
      </x:c>
      <x:c r="B49" s="9" t="str">
        <x:v>Pernod Ricard</x:v>
      </x:c>
      <x:c r="C49" s="9" t="str">
        <x:v>Firefly</x:v>
      </x:c>
      <x:c r="D49" s="9" t="str">
        <x:v>Проверенных упоминаний в основном корпусе не найдено</x:v>
      </x:c>
      <x:c r="E49" s="9" t="str">
        <x:v>site:pernod-ricard.com "Firefly" (job OR careers OR designer OR content) | "Pernod Ricard" "Firefly" (job OR hiring OR careers OR designer) | site:linkedin.com/jobs/view "Pernod Ricard" ("Higgsfield" OR "Runway" OR "Firefly")</x:v>
      </x:c>
      <x:c r="F49" s="9" t="str">
        <x:v>primary employer/ATS indexed query; public indexed job-board query; LinkedIn-focused query; targeted follow-up on candidates</x:v>
      </x:c>
      <x:c r="G49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49" s="9" t="str">
        <x:v>primary employer/ATS indexed query; public indexed job-board query; LinkedIn-focused query; targeted follow-up on candidates</x:v>
      </x:c>
      <x:c r="I49" s="2" t="str">
        <x:v>2026-10-06</x:v>
      </x:c>
    </x:row>
    <x:row r="50" ht="145" customHeight="1">
      <x:c r="A50" s="2" t="str">
        <x:v>C17</x:v>
      </x:c>
      <x:c r="B50" s="9" t="str">
        <x:v>Carlsberg</x:v>
      </x:c>
      <x:c r="C50" s="9" t="str">
        <x:v>Higgsfield</x:v>
      </x:c>
      <x:c r="D50" s="9" t="str">
        <x:v>Проверенных упоминаний в основном корпусе не найдено</x:v>
      </x:c>
      <x:c r="E50" s="9" t="str">
        <x:v>site:careers.carlsberg.com "Higgsfield" (job OR careers OR designer OR content) | "Carlsberg" "Higgsfield" (job OR hiring OR careers OR designer) | site:linkedin.com/jobs/view "Carlsberg" ("Higgsfield" OR "Runway" OR "Firefly")</x:v>
      </x:c>
      <x:c r="F50" s="9" t="str">
        <x:v>primary employer/ATS indexed query; public indexed job-board query; LinkedIn-focused query; targeted follow-up on candidates</x:v>
      </x:c>
      <x:c r="G50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50" s="9" t="str">
        <x:v>primary employer/ATS indexed query; public indexed job-board query; LinkedIn-focused query; targeted follow-up on candidates</x:v>
      </x:c>
      <x:c r="I50" s="2" t="str">
        <x:v>2026-10-06</x:v>
      </x:c>
    </x:row>
    <x:row r="51" ht="145" customHeight="1">
      <x:c r="A51" s="2" t="str">
        <x:v>C17</x:v>
      </x:c>
      <x:c r="B51" s="9" t="str">
        <x:v>Carlsberg</x:v>
      </x:c>
      <x:c r="C51" s="9" t="str">
        <x:v>Runway</x:v>
      </x:c>
      <x:c r="D51" s="9" t="str">
        <x:v>Проверенных упоминаний в основном корпусе не найдено</x:v>
      </x:c>
      <x:c r="E51" s="9" t="str">
        <x:v>site:careers.carlsberg.com "Runway" (job OR careers OR designer OR content) | "Carlsberg" "Runway" (job OR hiring OR careers OR designer) | site:linkedin.com/jobs/view "Carlsberg" ("Higgsfield" OR "Runway" OR "Firefly")</x:v>
      </x:c>
      <x:c r="F51" s="9" t="str">
        <x:v>primary employer/ATS indexed query; public indexed job-board query; LinkedIn-focused query; targeted follow-up on candidates</x:v>
      </x:c>
      <x:c r="G51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51" s="9" t="str">
        <x:v>primary employer/ATS indexed query; public indexed job-board query; LinkedIn-focused query; targeted follow-up on candidates</x:v>
      </x:c>
      <x:c r="I51" s="2" t="str">
        <x:v>2026-10-06</x:v>
      </x:c>
    </x:row>
    <x:row r="52" ht="145" customHeight="1">
      <x:c r="A52" s="2" t="str">
        <x:v>C17</x:v>
      </x:c>
      <x:c r="B52" s="9" t="str">
        <x:v>Carlsberg</x:v>
      </x:c>
      <x:c r="C52" s="9" t="str">
        <x:v>Firefly</x:v>
      </x:c>
      <x:c r="D52" s="9" t="str">
        <x:v>Проверенных упоминаний в основном корпусе не найдено</x:v>
      </x:c>
      <x:c r="E52" s="9" t="str">
        <x:v>site:careers.carlsberg.com "Firefly" (job OR careers OR designer OR content) | "Carlsberg" "Firefly" (job OR hiring OR careers OR designer) | site:linkedin.com/jobs/view "Carlsberg" ("Higgsfield" OR "Runway" OR "Firefly")</x:v>
      </x:c>
      <x:c r="F52" s="9" t="str">
        <x:v>primary employer/ATS indexed query; public indexed job-board query; LinkedIn-focused query; targeted follow-up on candidates</x:v>
      </x:c>
      <x:c r="G52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52" s="9" t="str">
        <x:v>primary employer/ATS indexed query; public indexed job-board query; LinkedIn-focused query; targeted follow-up on candidates</x:v>
      </x:c>
      <x:c r="I52" s="2" t="str">
        <x:v>2026-10-06</x:v>
      </x:c>
    </x:row>
    <x:row r="53" ht="145" customHeight="1">
      <x:c r="A53" s="2" t="str">
        <x:v>C18</x:v>
      </x:c>
      <x:c r="B53" s="9" t="str">
        <x:v>Asahi Group</x:v>
      </x:c>
      <x:c r="C53" s="9" t="str">
        <x:v>Higgsfield</x:v>
      </x:c>
      <x:c r="D53" s="9" t="str">
        <x:v>Проверенных упоминаний в основном корпусе не найдено</x:v>
      </x:c>
      <x:c r="E53" s="9" t="str">
        <x:v>site:asahiinternational.com "Higgsfield" (job OR careers OR designer OR content) | "Asahi" "Higgsfield" (job OR hiring OR careers OR designer) | site:linkedin.com/jobs/view "Asahi" ("Higgsfield" OR "Runway" OR "Firefly") | "アサヒ" 求人 ("Higgsfield" OR "Runway" OR "Firefly")</x:v>
      </x:c>
      <x:c r="F53" s="9" t="str">
        <x:v>primary employer/ATS indexed query; public indexed job-board query; LinkedIn-focused query; targeted follow-up on candidates</x:v>
      </x:c>
      <x:c r="G53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53" s="9" t="str">
        <x:v>primary employer/ATS indexed query; public indexed job-board query; LinkedIn-focused query; targeted follow-up on candidates</x:v>
      </x:c>
      <x:c r="I53" s="2" t="str">
        <x:v>2026-10-06</x:v>
      </x:c>
    </x:row>
    <x:row r="54" ht="145" customHeight="1">
      <x:c r="A54" s="2" t="str">
        <x:v>C18</x:v>
      </x:c>
      <x:c r="B54" s="9" t="str">
        <x:v>Asahi Group</x:v>
      </x:c>
      <x:c r="C54" s="9" t="str">
        <x:v>Runway</x:v>
      </x:c>
      <x:c r="D54" s="9" t="str">
        <x:v>Проверенных упоминаний в основном корпусе не найдено</x:v>
      </x:c>
      <x:c r="E54" s="9" t="str">
        <x:v>site:asahiinternational.com "Runway" (job OR careers OR designer OR content) | "Asahi" "Runway" (job OR hiring OR careers OR designer) | site:linkedin.com/jobs/view "Asahi" ("Higgsfield" OR "Runway" OR "Firefly") | "アサヒ" 求人 ("Higgsfield" OR "Runway" OR "Firefly")</x:v>
      </x:c>
      <x:c r="F54" s="9" t="str">
        <x:v>primary employer/ATS indexed query; public indexed job-board query; LinkedIn-focused query; targeted follow-up on candidates</x:v>
      </x:c>
      <x:c r="G54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54" s="9" t="str">
        <x:v>primary employer/ATS indexed query; public indexed job-board query; LinkedIn-focused query; targeted follow-up on candidates</x:v>
      </x:c>
      <x:c r="I54" s="2" t="str">
        <x:v>2026-10-06</x:v>
      </x:c>
    </x:row>
    <x:row r="55" ht="145" customHeight="1">
      <x:c r="A55" s="2" t="str">
        <x:v>C18</x:v>
      </x:c>
      <x:c r="B55" s="9" t="str">
        <x:v>Asahi Group</x:v>
      </x:c>
      <x:c r="C55" s="9" t="str">
        <x:v>Firefly</x:v>
      </x:c>
      <x:c r="D55" s="9" t="str">
        <x:v>Проверенных упоминаний в основном корпусе не найдено</x:v>
      </x:c>
      <x:c r="E55" s="9" t="str">
        <x:v>site:asahiinternational.com "Firefly" (job OR careers OR designer OR content) | "Asahi" "Firefly" (job OR hiring OR careers OR designer) | site:linkedin.com/jobs/view "Asahi" ("Higgsfield" OR "Runway" OR "Firefly") | "アサヒ" 求人 ("Higgsfield" OR "Runway" OR "Firefly")</x:v>
      </x:c>
      <x:c r="F55" s="9" t="str">
        <x:v>primary employer/ATS indexed query; public indexed job-board query; LinkedIn-focused query; targeted follow-up on candidates</x:v>
      </x:c>
      <x:c r="G55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55" s="9" t="str">
        <x:v>primary employer/ATS indexed query; public indexed job-board query; LinkedIn-focused query; targeted follow-up on candidates</x:v>
      </x:c>
      <x:c r="I55" s="2" t="str">
        <x:v>2026-10-06</x:v>
      </x:c>
    </x:row>
    <x:row r="56" ht="145" customHeight="1">
      <x:c r="A56" s="2" t="str">
        <x:v>C19</x:v>
      </x:c>
      <x:c r="B56" s="9" t="str">
        <x:v>Suntory</x:v>
      </x:c>
      <x:c r="C56" s="9" t="str">
        <x:v>Higgsfield</x:v>
      </x:c>
      <x:c r="D56" s="9" t="str">
        <x:v>Проверенных упоминаний в основном корпусе не найдено</x:v>
      </x:c>
      <x:c r="E56" s="9" t="str">
        <x:v>site:careers.suntoryglobalspirits.com "Higgsfield" (job OR careers OR designer OR content) | "Suntory" "Higgsfield" (job OR hiring OR careers OR designer) | site:linkedin.com/jobs/view "Suntory" ("Higgsfield" OR "Runway" OR "Firefly") | "サントリー" 求人 ("Higgsfield" OR "Runway" OR "Firefly")</x:v>
      </x:c>
      <x:c r="F56" s="9" t="str">
        <x:v>primary employer/ATS indexed query; public indexed job-board query; LinkedIn-focused query; targeted follow-up on candidates</x:v>
      </x:c>
      <x:c r="G56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56" s="9" t="str">
        <x:v>primary employer/ATS indexed query; public indexed job-board query; LinkedIn-focused query; targeted follow-up on candidates</x:v>
      </x:c>
      <x:c r="I56" s="2" t="str">
        <x:v>2026-10-06</x:v>
      </x:c>
    </x:row>
    <x:row r="57" ht="145" customHeight="1">
      <x:c r="A57" s="2" t="str">
        <x:v>C19</x:v>
      </x:c>
      <x:c r="B57" s="9" t="str">
        <x:v>Suntory</x:v>
      </x:c>
      <x:c r="C57" s="9" t="str">
        <x:v>Runway</x:v>
      </x:c>
      <x:c r="D57" s="9" t="str">
        <x:v>Проверенных упоминаний в основном корпусе не найдено</x:v>
      </x:c>
      <x:c r="E57" s="9" t="str">
        <x:v>site:careers.suntoryglobalspirits.com "Runway" (job OR careers OR designer OR content) | "Suntory" "Runway" (job OR hiring OR careers OR designer) | site:linkedin.com/jobs/view "Suntory" ("Higgsfield" OR "Runway" OR "Firefly") | "サントリー" 求人 ("Higgsfield" OR "Runway" OR "Firefly")</x:v>
      </x:c>
      <x:c r="F57" s="9" t="str">
        <x:v>primary employer/ATS indexed query; public indexed job-board query; LinkedIn-focused query; targeted follow-up on candidates</x:v>
      </x:c>
      <x:c r="G57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57" s="9" t="str">
        <x:v>primary employer/ATS indexed query; public indexed job-board query; LinkedIn-focused query; targeted follow-up on candidates</x:v>
      </x:c>
      <x:c r="I57" s="2" t="str">
        <x:v>2026-10-06</x:v>
      </x:c>
    </x:row>
    <x:row r="58" ht="145" customHeight="1">
      <x:c r="A58" s="2" t="str">
        <x:v>C19</x:v>
      </x:c>
      <x:c r="B58" s="9" t="str">
        <x:v>Suntory</x:v>
      </x:c>
      <x:c r="C58" s="9" t="str">
        <x:v>Firefly</x:v>
      </x:c>
      <x:c r="D58" s="9" t="str">
        <x:v>Проверенных упоминаний в основном корпусе не найдено</x:v>
      </x:c>
      <x:c r="E58" s="9" t="str">
        <x:v>site:careers.suntoryglobalspirits.com "Firefly" (job OR careers OR designer OR content) | "Suntory" "Firefly" (job OR hiring OR careers OR designer) | site:linkedin.com/jobs/view "Suntory" ("Higgsfield" OR "Runway" OR "Firefly") | "サントリー" 求人 ("Higgsfield" OR "Runway" OR "Firefly")</x:v>
      </x:c>
      <x:c r="F58" s="9" t="str">
        <x:v>primary employer/ATS indexed query; public indexed job-board query; LinkedIn-focused query; targeted follow-up on candidates</x:v>
      </x:c>
      <x:c r="G58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58" s="9" t="str">
        <x:v>primary employer/ATS indexed query; public indexed job-board query; LinkedIn-focused query; targeted follow-up on candidates</x:v>
      </x:c>
      <x:c r="I58" s="2" t="str">
        <x:v>2026-10-06</x:v>
      </x:c>
    </x:row>
    <x:row r="59" ht="145" customHeight="1">
      <x:c r="A59" s="2" t="str">
        <x:v>C20</x:v>
      </x:c>
      <x:c r="B59" s="9" t="str">
        <x:v>Kirin Holdings</x:v>
      </x:c>
      <x:c r="C59" s="9" t="str">
        <x:v>Higgsfield</x:v>
      </x:c>
      <x:c r="D59" s="9" t="str">
        <x:v>Проверенных упоминаний в основном корпусе не найдено</x:v>
      </x:c>
      <x:c r="E59" s="9" t="str">
        <x:v>site:kirinholdings.com "Higgsfield" (job OR careers OR designer OR content) | "Kirin" "Higgsfield" (job OR hiring OR careers OR designer) | site:linkedin.com/jobs/view "Kirin" ("Higgsfield" OR "Runway" OR "Firefly") | "キリン" 求人 ("Higgsfield" OR "Runway" OR "Firefly")</x:v>
      </x:c>
      <x:c r="F59" s="9" t="str">
        <x:v>primary employer/ATS indexed query; public indexed job-board query; LinkedIn-focused query; targeted follow-up on candidates</x:v>
      </x:c>
      <x:c r="G59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59" s="9" t="str">
        <x:v>primary employer/ATS indexed query; public indexed job-board query; LinkedIn-focused query; targeted follow-up on candidates</x:v>
      </x:c>
      <x:c r="I59" s="2" t="str">
        <x:v>2026-10-06</x:v>
      </x:c>
    </x:row>
    <x:row r="60" ht="145" customHeight="1">
      <x:c r="A60" s="2" t="str">
        <x:v>C20</x:v>
      </x:c>
      <x:c r="B60" s="9" t="str">
        <x:v>Kirin Holdings</x:v>
      </x:c>
      <x:c r="C60" s="9" t="str">
        <x:v>Runway</x:v>
      </x:c>
      <x:c r="D60" s="9" t="str">
        <x:v>Проверенных упоминаний в основном корпусе не найдено</x:v>
      </x:c>
      <x:c r="E60" s="9" t="str">
        <x:v>site:kirinholdings.com "Runway" (job OR careers OR designer OR content) | "Kirin" "Runway" (job OR hiring OR careers OR designer) | site:linkedin.com/jobs/view "Kirin" ("Higgsfield" OR "Runway" OR "Firefly") | "キリン" 求人 ("Higgsfield" OR "Runway" OR "Firefly")</x:v>
      </x:c>
      <x:c r="F60" s="9" t="str">
        <x:v>primary employer/ATS indexed query; public indexed job-board query; LinkedIn-focused query; targeted follow-up on candidates</x:v>
      </x:c>
      <x:c r="G60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60" s="9" t="str">
        <x:v>primary employer/ATS indexed query; public indexed job-board query; LinkedIn-focused query; targeted follow-up on candidates</x:v>
      </x:c>
      <x:c r="I60" s="2" t="str">
        <x:v>2026-10-06</x:v>
      </x:c>
    </x:row>
    <x:row r="61" ht="145" customHeight="1">
      <x:c r="A61" s="2" t="str">
        <x:v>C20</x:v>
      </x:c>
      <x:c r="B61" s="9" t="str">
        <x:v>Kirin Holdings</x:v>
      </x:c>
      <x:c r="C61" s="9" t="str">
        <x:v>Firefly</x:v>
      </x:c>
      <x:c r="D61" s="9" t="str">
        <x:v>Проверенных упоминаний в основном корпусе не найдено</x:v>
      </x:c>
      <x:c r="E61" s="9" t="str">
        <x:v>site:kirinholdings.com "Firefly" (job OR careers OR designer OR content) | "Kirin" "Firefly" (job OR hiring OR careers OR designer) | site:linkedin.com/jobs/view "Kirin" ("Higgsfield" OR "Runway" OR "Firefly") | "キリン" 求人 ("Higgsfield" OR "Runway" OR "Firefly")</x:v>
      </x:c>
      <x:c r="F61" s="9" t="str">
        <x:v>primary employer/ATS indexed query; public indexed job-board query; LinkedIn-focused query; targeted follow-up on candidates</x:v>
      </x:c>
      <x:c r="G61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61" s="9" t="str">
        <x:v>primary employer/ATS indexed query; public indexed job-board query; LinkedIn-focused query; targeted follow-up on candidates</x:v>
      </x:c>
      <x:c r="I61" s="2" t="str">
        <x:v>2026-10-06</x:v>
      </x:c>
    </x:row>
    <x:row r="62" ht="145" customHeight="1">
      <x:c r="A62" s="2" t="str">
        <x:v>C21</x:v>
      </x:c>
      <x:c r="B62" s="9" t="str">
        <x:v>Colgate-Palmolive</x:v>
      </x:c>
      <x:c r="C62" s="9" t="str">
        <x:v>Higgsfield</x:v>
      </x:c>
      <x:c r="D62" s="9" t="str">
        <x:v>Проверенных упоминаний в основном корпусе не найдено</x:v>
      </x:c>
      <x:c r="E62" s="9" t="str">
        <x:v>site:jobs.colgate.com "Higgsfield" (job OR careers OR designer OR content) | "Colgate-Palmolive" "Higgsfield" (job OR hiring OR careers OR designer) | site:linkedin.com/jobs/view "Colgate-Palmolive" ("Higgsfield" OR "Runway" OR "Firefly")</x:v>
      </x:c>
      <x:c r="F62" s="9" t="str">
        <x:v>primary employer/ATS indexed query; public indexed job-board query; LinkedIn-focused query; targeted follow-up on candidates</x:v>
      </x:c>
      <x:c r="G62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62" s="9" t="str">
        <x:v>primary employer/ATS indexed query; public indexed job-board query; LinkedIn-focused query; targeted follow-up on candidates</x:v>
      </x:c>
      <x:c r="I62" s="2" t="str">
        <x:v>2026-10-06</x:v>
      </x:c>
    </x:row>
    <x:row r="63" ht="145" customHeight="1">
      <x:c r="A63" s="2" t="str">
        <x:v>C21</x:v>
      </x:c>
      <x:c r="B63" s="9" t="str">
        <x:v>Colgate-Palmolive</x:v>
      </x:c>
      <x:c r="C63" s="9" t="str">
        <x:v>Runway</x:v>
      </x:c>
      <x:c r="D63" s="9" t="str">
        <x:v>Проверенных упоминаний в основном корпусе не найдено</x:v>
      </x:c>
      <x:c r="E63" s="9" t="str">
        <x:v>site:jobs.colgate.com "Runway" (job OR careers OR designer OR content) | "Colgate-Palmolive" "Runway" (job OR hiring OR careers OR designer) | site:linkedin.com/jobs/view "Colgate-Palmolive" ("Higgsfield" OR "Runway" OR "Firefly")</x:v>
      </x:c>
      <x:c r="F63" s="9" t="str">
        <x:v>primary employer/ATS indexed query; public indexed job-board query; LinkedIn-focused query; targeted follow-up on candidates</x:v>
      </x:c>
      <x:c r="G63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63" s="9" t="str">
        <x:v>primary employer/ATS indexed query; public indexed job-board query; LinkedIn-focused query; targeted follow-up on candidates</x:v>
      </x:c>
      <x:c r="I63" s="2" t="str">
        <x:v>2026-10-06</x:v>
      </x:c>
    </x:row>
    <x:row r="64" ht="145" customHeight="1">
      <x:c r="A64" s="2" t="str">
        <x:v>C21</x:v>
      </x:c>
      <x:c r="B64" s="9" t="str">
        <x:v>Colgate-Palmolive</x:v>
      </x:c>
      <x:c r="C64" s="9" t="str">
        <x:v>Firefly</x:v>
      </x:c>
      <x:c r="D64" s="9" t="str">
        <x:v>1 вакансий в основном корпусе</x:v>
      </x:c>
      <x:c r="E64" s="9" t="str">
        <x:v>site:jobs.colgate.com "Firefly" (job OR careers OR designer OR content) | "Colgate-Palmolive" "Firefly" (job OR hiring OR careers OR designer) | site:linkedin.com/jobs/view "Colgate-Palmolive" ("Higgsfield" OR "Runway" OR "Firefly")</x:v>
      </x:c>
      <x:c r="F64" s="9" t="str">
        <x:v>https://www.fractionaljobs.io/jobs/senior-graphic-designer-at-colgate-palmolive</x:v>
      </x:c>
      <x:c r="G64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64" s="9" t="str">
        <x:v>primary employer/ATS indexed query; public indexed job-board query; LinkedIn-focused query; targeted follow-up on candidates</x:v>
      </x:c>
      <x:c r="I64" s="2" t="str">
        <x:v>2026-10-06</x:v>
      </x:c>
    </x:row>
    <x:row r="65" ht="145" customHeight="1">
      <x:c r="A65" s="2" t="str">
        <x:v>C22</x:v>
      </x:c>
      <x:c r="B65" s="9" t="str">
        <x:v>Kimberly-Clark</x:v>
      </x:c>
      <x:c r="C65" s="9" t="str">
        <x:v>Higgsfield</x:v>
      </x:c>
      <x:c r="D65" s="9" t="str">
        <x:v>Проверенных упоминаний в основном корпусе не найдено</x:v>
      </x:c>
      <x:c r="E65" s="9" t="str">
        <x:v>site:careers.kimberly-clark.com "Higgsfield" (job OR careers OR designer OR content) | "Kimberly-Clark" "Higgsfield" (job OR hiring OR careers OR designer) | site:linkedin.com/jobs/view "Kimberly-Clark" ("Higgsfield" OR "Runway" OR "Firefly")</x:v>
      </x:c>
      <x:c r="F65" s="9" t="str">
        <x:v>primary employer/ATS indexed query; public indexed job-board query; LinkedIn-focused query; targeted follow-up on candidates</x:v>
      </x:c>
      <x:c r="G65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65" s="9" t="str">
        <x:v>primary employer/ATS indexed query; public indexed job-board query; LinkedIn-focused query; targeted follow-up on candidates</x:v>
      </x:c>
      <x:c r="I65" s="2" t="str">
        <x:v>2026-10-06</x:v>
      </x:c>
    </x:row>
    <x:row r="66" ht="145" customHeight="1">
      <x:c r="A66" s="2" t="str">
        <x:v>C22</x:v>
      </x:c>
      <x:c r="B66" s="9" t="str">
        <x:v>Kimberly-Clark</x:v>
      </x:c>
      <x:c r="C66" s="9" t="str">
        <x:v>Runway</x:v>
      </x:c>
      <x:c r="D66" s="9" t="str">
        <x:v>Проверенных упоминаний в основном корпусе не найдено</x:v>
      </x:c>
      <x:c r="E66" s="9" t="str">
        <x:v>site:careers.kimberly-clark.com "Runway" (job OR careers OR designer OR content) | "Kimberly-Clark" "Runway" (job OR hiring OR careers OR designer) | site:linkedin.com/jobs/view "Kimberly-Clark" ("Higgsfield" OR "Runway" OR "Firefly")</x:v>
      </x:c>
      <x:c r="F66" s="9" t="str">
        <x:v>primary employer/ATS indexed query; public indexed job-board query; LinkedIn-focused query; targeted follow-up on candidates</x:v>
      </x:c>
      <x:c r="G66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66" s="9" t="str">
        <x:v>primary employer/ATS indexed query; public indexed job-board query; LinkedIn-focused query; targeted follow-up on candidates</x:v>
      </x:c>
      <x:c r="I66" s="2" t="str">
        <x:v>2026-10-06</x:v>
      </x:c>
    </x:row>
    <x:row r="67" ht="145" customHeight="1">
      <x:c r="A67" s="2" t="str">
        <x:v>C22</x:v>
      </x:c>
      <x:c r="B67" s="9" t="str">
        <x:v>Kimberly-Clark</x:v>
      </x:c>
      <x:c r="C67" s="9" t="str">
        <x:v>Firefly</x:v>
      </x:c>
      <x:c r="D67" s="9" t="str">
        <x:v>1 вакансий в основном корпусе</x:v>
      </x:c>
      <x:c r="E67" s="9" t="str">
        <x:v>site:careers.kimberly-clark.com "Firefly" (job OR careers OR designer OR content) | "Kimberly-Clark" "Firefly" (job OR hiring OR careers OR designer) | site:linkedin.com/jobs/view "Kimberly-Clark" ("Higgsfield" OR "Runway" OR "Firefly")</x:v>
      </x:c>
      <x:c r="F67" s="9" t="str">
        <x:v>https://builtin.com/job/design-manager-enterprise-markets/3635748</x:v>
      </x:c>
      <x:c r="G67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67" s="9" t="str">
        <x:v>primary employer/ATS indexed query; public indexed job-board query; LinkedIn-focused query; targeted follow-up on candidates</x:v>
      </x:c>
      <x:c r="I67" s="2" t="str">
        <x:v>2026-10-06</x:v>
      </x:c>
    </x:row>
    <x:row r="68" ht="145" customHeight="1">
      <x:c r="A68" s="2" t="str">
        <x:v>C23</x:v>
      </x:c>
      <x:c r="B68" s="9" t="str">
        <x:v>Reckitt</x:v>
      </x:c>
      <x:c r="C68" s="9" t="str">
        <x:v>Higgsfield</x:v>
      </x:c>
      <x:c r="D68" s="9" t="str">
        <x:v>1 вакансий в основном корпусе</x:v>
      </x:c>
      <x:c r="E68" s="9" t="str">
        <x:v>site:careers.reckitt.com "Higgsfield" (job OR careers OR designer OR content) | "Reckitt" "Higgsfield" (job OR hiring OR careers OR designer) | site:linkedin.com/jobs/view "Reckitt" ("Higgsfield" OR "Runway" OR "Firefly")</x:v>
      </x:c>
      <x:c r="F68" s="9" t="str">
        <x:v>https://jobxdubai.com/jobs/reckitt-1404883133-ai-content-workflow-executive-6-month-contract</x:v>
      </x:c>
      <x:c r="G68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68" s="9" t="str">
        <x:v>primary employer/ATS indexed query; public indexed job-board query; LinkedIn-focused query; targeted follow-up on candidates</x:v>
      </x:c>
      <x:c r="I68" s="2" t="str">
        <x:v>2026-10-06</x:v>
      </x:c>
    </x:row>
    <x:row r="69" ht="145" customHeight="1">
      <x:c r="A69" s="2" t="str">
        <x:v>C23</x:v>
      </x:c>
      <x:c r="B69" s="9" t="str">
        <x:v>Reckitt</x:v>
      </x:c>
      <x:c r="C69" s="9" t="str">
        <x:v>Runway</x:v>
      </x:c>
      <x:c r="D69" s="9" t="str">
        <x:v>2 вакансий в основном корпусе</x:v>
      </x:c>
      <x:c r="E69" s="9" t="str">
        <x:v>site:careers.reckitt.com "Runway" (job OR careers OR designer OR content) | "Reckitt" "Runway" (job OR hiring OR careers OR designer) | site:linkedin.com/jobs/view "Reckitt" ("Higgsfield" OR "Runway" OR "Firefly")</x:v>
      </x:c>
      <x:c r="F69" s="9" t="str">
        <x:v>https://jobxdubai.com/jobs/reckitt-1404883133-ai-content-workflow-executive-6-month-contract | https://my.linkedin.com/jobs/view/junior-gen-ai-artist-1-year-contract-at-reckitt-4432555116</x:v>
      </x:c>
      <x:c r="G69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69" s="9" t="str">
        <x:v>primary employer/ATS indexed query; public indexed job-board query; LinkedIn-focused query; targeted follow-up on candidates</x:v>
      </x:c>
      <x:c r="I69" s="2" t="str">
        <x:v>2026-10-06</x:v>
      </x:c>
    </x:row>
    <x:row r="70" ht="145" customHeight="1">
      <x:c r="A70" s="2" t="str">
        <x:v>C23</x:v>
      </x:c>
      <x:c r="B70" s="9" t="str">
        <x:v>Reckitt</x:v>
      </x:c>
      <x:c r="C70" s="9" t="str">
        <x:v>Firefly</x:v>
      </x:c>
      <x:c r="D70" s="9" t="str">
        <x:v>1 вакансий в основном корпусе</x:v>
      </x:c>
      <x:c r="E70" s="9" t="str">
        <x:v>site:careers.reckitt.com "Firefly" (job OR careers OR designer OR content) | "Reckitt" "Firefly" (job OR hiring OR careers OR designer) | site:linkedin.com/jobs/view "Reckitt" ("Higgsfield" OR "Runway" OR "Firefly")</x:v>
      </x:c>
      <x:c r="F70" s="9" t="str">
        <x:v>https://my.linkedin.com/jobs/view/junior-gen-ai-artist-1-year-contract-at-reckitt-4432555116</x:v>
      </x:c>
      <x:c r="G70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70" s="9" t="str">
        <x:v>primary employer/ATS indexed query; public indexed job-board query; LinkedIn-focused query; targeted follow-up on candidates</x:v>
      </x:c>
      <x:c r="I70" s="2" t="str">
        <x:v>2026-10-06</x:v>
      </x:c>
    </x:row>
    <x:row r="71" ht="145" customHeight="1">
      <x:c r="A71" s="2" t="str">
        <x:v>C24</x:v>
      </x:c>
      <x:c r="B71" s="9" t="str">
        <x:v>Henkel</x:v>
      </x:c>
      <x:c r="C71" s="9" t="str">
        <x:v>Higgsfield</x:v>
      </x:c>
      <x:c r="D71" s="9" t="str">
        <x:v>Проверенных упоминаний в основном корпусе не найдено</x:v>
      </x:c>
      <x:c r="E71" s="9" t="str">
        <x:v>site:henkel.com "Higgsfield" (job OR careers OR designer OR content) | "Henkel" "Higgsfield" (job OR hiring OR careers OR designer) | site:linkedin.com/jobs/view "Henkel" ("Higgsfield" OR "Runway" OR "Firefly")</x:v>
      </x:c>
      <x:c r="F71" s="9" t="str">
        <x:v>primary employer/ATS indexed query; public indexed job-board query; LinkedIn-focused query; targeted follow-up on candidates</x:v>
      </x:c>
      <x:c r="G71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71" s="9" t="str">
        <x:v>primary employer/ATS indexed query; public indexed job-board query; LinkedIn-focused query; targeted follow-up on candidates</x:v>
      </x:c>
      <x:c r="I71" s="2" t="str">
        <x:v>2026-10-06</x:v>
      </x:c>
    </x:row>
    <x:row r="72" ht="145" customHeight="1">
      <x:c r="A72" s="2" t="str">
        <x:v>C24</x:v>
      </x:c>
      <x:c r="B72" s="9" t="str">
        <x:v>Henkel</x:v>
      </x:c>
      <x:c r="C72" s="9" t="str">
        <x:v>Runway</x:v>
      </x:c>
      <x:c r="D72" s="9" t="str">
        <x:v>1 вакансий в основном корпусе</x:v>
      </x:c>
      <x:c r="E72" s="9" t="str">
        <x:v>site:henkel.com "Runway" (job OR careers OR designer OR content) | "Henkel" "Runway" (job OR hiring OR careers OR designer) | site:linkedin.com/jobs/view "Henkel" ("Higgsfield" OR "Runway" OR "Firefly")</x:v>
      </x:c>
      <x:c r="F72" s="9" t="str">
        <x:v>https://jobs.joinimagine.com/companies/henkel-2/jobs/66521009-post-production-creative-content-coordinator</x:v>
      </x:c>
      <x:c r="G72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72" s="9" t="str">
        <x:v>primary employer/ATS indexed query; public indexed job-board query; LinkedIn-focused query; targeted follow-up on candidates</x:v>
      </x:c>
      <x:c r="I72" s="2" t="str">
        <x:v>2026-10-06</x:v>
      </x:c>
    </x:row>
    <x:row r="73" ht="145" customHeight="1">
      <x:c r="A73" s="2" t="str">
        <x:v>C24</x:v>
      </x:c>
      <x:c r="B73" s="9" t="str">
        <x:v>Henkel</x:v>
      </x:c>
      <x:c r="C73" s="9" t="str">
        <x:v>Firefly</x:v>
      </x:c>
      <x:c r="D73" s="9" t="str">
        <x:v>Проверенных упоминаний в основном корпусе не найдено</x:v>
      </x:c>
      <x:c r="E73" s="9" t="str">
        <x:v>site:henkel.com "Firefly" (job OR careers OR designer OR content) | "Henkel" "Firefly" (job OR hiring OR careers OR designer) | site:linkedin.com/jobs/view "Henkel" ("Higgsfield" OR "Runway" OR "Firefly")</x:v>
      </x:c>
      <x:c r="F73" s="9" t="str">
        <x:v>primary employer/ATS indexed query; public indexed job-board query; LinkedIn-focused query; targeted follow-up on candidates</x:v>
      </x:c>
      <x:c r="G73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73" s="9" t="str">
        <x:v>primary employer/ATS indexed query; public indexed job-board query; LinkedIn-focused query; targeted follow-up on candidates</x:v>
      </x:c>
      <x:c r="I73" s="2" t="str">
        <x:v>2026-10-06</x:v>
      </x:c>
    </x:row>
    <x:row r="74" ht="145" customHeight="1">
      <x:c r="A74" s="2" t="str">
        <x:v>C25</x:v>
      </x:c>
      <x:c r="B74" s="9" t="str">
        <x:v>Estée Lauder Companies</x:v>
      </x:c>
      <x:c r="C74" s="9" t="str">
        <x:v>Higgsfield</x:v>
      </x:c>
      <x:c r="D74" s="9" t="str">
        <x:v>Проверенных упоминаний в основном корпусе не найдено</x:v>
      </x:c>
      <x:c r="E74" s="9" t="str">
        <x:v>site:elcompanies.com "Higgsfield" (job OR careers OR designer OR content) | "Estee Lauder" "Higgsfield" (job OR hiring OR careers OR designer) | site:linkedin.com/jobs/view "Estee Lauder" ("Higgsfield" OR "Runway" OR "Firefly")</x:v>
      </x:c>
      <x:c r="F74" s="9" t="str">
        <x:v>primary employer/ATS indexed query; public indexed job-board query; LinkedIn-focused query; targeted follow-up on candidates</x:v>
      </x:c>
      <x:c r="G74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74" s="9" t="str">
        <x:v>primary employer/ATS indexed query; public indexed job-board query; LinkedIn-focused query; targeted follow-up on candidates</x:v>
      </x:c>
      <x:c r="I74" s="2" t="str">
        <x:v>2026-10-06</x:v>
      </x:c>
    </x:row>
    <x:row r="75" ht="145" customHeight="1">
      <x:c r="A75" s="2" t="str">
        <x:v>C25</x:v>
      </x:c>
      <x:c r="B75" s="9" t="str">
        <x:v>Estée Lauder Companies</x:v>
      </x:c>
      <x:c r="C75" s="9" t="str">
        <x:v>Runway</x:v>
      </x:c>
      <x:c r="D75" s="9" t="str">
        <x:v>Проверенных упоминаний в основном корпусе не найдено</x:v>
      </x:c>
      <x:c r="E75" s="9" t="str">
        <x:v>site:elcompanies.com "Runway" (job OR careers OR designer OR content) | "Estee Lauder" "Runway" (job OR hiring OR careers OR designer) | site:linkedin.com/jobs/view "Estee Lauder" ("Higgsfield" OR "Runway" OR "Firefly")</x:v>
      </x:c>
      <x:c r="F75" s="9" t="str">
        <x:v>primary employer/ATS indexed query; public indexed job-board query; LinkedIn-focused query; targeted follow-up on candidates</x:v>
      </x:c>
      <x:c r="G75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75" s="9" t="str">
        <x:v>primary employer/ATS indexed query; public indexed job-board query; LinkedIn-focused query; targeted follow-up on candidates</x:v>
      </x:c>
      <x:c r="I75" s="2" t="str">
        <x:v>2026-10-06</x:v>
      </x:c>
    </x:row>
    <x:row r="76" ht="145" customHeight="1">
      <x:c r="A76" s="2" t="str">
        <x:v>C25</x:v>
      </x:c>
      <x:c r="B76" s="9" t="str">
        <x:v>Estée Lauder Companies</x:v>
      </x:c>
      <x:c r="C76" s="9" t="str">
        <x:v>Firefly</x:v>
      </x:c>
      <x:c r="D76" s="9" t="str">
        <x:v>2 вакансий в основном корпусе</x:v>
      </x:c>
      <x:c r="E76" s="9" t="str">
        <x:v>site:elcompanies.com "Firefly" (job OR careers OR designer OR content) | "Estee Lauder" "Firefly" (job OR hiring OR careers OR designer) | site:linkedin.com/jobs/view "Estee Lauder" ("Higgsfield" OR "Runway" OR "Firefly")</x:v>
      </x:c>
      <x:c r="F76" s="9" t="str">
        <x:v>https://www.linkedin.com/jobs/view/associate-design-director-elc-global-communications-at-the-est%C3%A9e-lauder-companies-inc-4442226523 | https://uk.indeed.com/viewjob?jk=bc9ec9fb1e37bf08</x:v>
      </x:c>
      <x:c r="G76" s="9" t="str">
        <x:v>Public indexed discovery only; no finite historical archive or ATS-internal exhaustive crawl; deleted, unindexed, login-gated jobs can be missed. English employer-name discovery, with supplemental Japanese queries for Asahi/Suntory/Kirin. Zero means no qualifying JD located, never non-use. </x:v>
      </x:c>
      <x:c r="H76" s="9" t="str">
        <x:v>primary employer/ATS indexed query; public indexed job-board query; LinkedIn-focused query; targeted follow-up on candidates</x:v>
      </x:c>
      <x:c r="I76" s="2" t="str">
        <x:v>2026-10-06</x:v>
      </x:c>
    </x:row>
    <x:row r="77" ht="145" customHeight="1">
      <x:c r="A77" s="2" t="str">
        <x:v>C26</x:v>
      </x:c>
      <x:c r="B77" s="9" t="str">
        <x:v>Beiersdorf</x:v>
      </x:c>
      <x:c r="C77" s="9" t="str">
        <x:v>Higgsfield</x:v>
      </x:c>
      <x:c r="D77" s="9" t="str">
        <x:v>Проверенных упоминаний в основном корпусе не найдено</x:v>
      </x:c>
      <x:c r="E77" s="9" t="str">
        <x:v>primary: site:beiersdorf.com "Higgsfield" (job OR career OR vacancy OR Stellenangebote) || indexed: "Beiersdorf" "Higgsfield" (job OR hiring OR career OR vacancy) || linkedin: site:linkedin.com/jobs/view "Beiersdorf" "Higgsfield" || ATS: "Beiersdorf" ("Higgsfield" OR "Runway" OR "Firefly") (site:myworkdayjobs.com OR site:successfactors.com OR site:jobs2web.com OR site:icims.com OR site:avature.net OR site:oraclecloud.com OR site:smartrecruiters.com) || local: "Beiersdorf" (Stelle OR Stellenangebot OR Designer OR Kreativ) "Higgsfield" || exact_broad: "Beiersdorf" "Higgsfield" -site:linkedin.com/in -site:linkedin.com/pub</x:v>
      </x:c>
      <x:c r="F77" s="9" t="str">
        <x:v>Corporate domain beiersdorf.com; indexed public job boards; LinkedIn jobs; common ATS domains (myworkdayjobs.com, successfactors.com, jobs2web.com, icims.com, avature.net, oraclecloud.com, smartrecruiters.com)</x:v>
      </x:c>
      <x:c r="G77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77" s="9" t="str">
        <x:v>Corporate-domain, unrestricted job, LinkedIn-specific, common ATS index and exact broad queries; local-language where recorded</x:v>
      </x:c>
      <x:c r="I77" s="2" t="str">
        <x:v>2026-10-06</x:v>
      </x:c>
    </x:row>
    <x:row r="78" ht="145" customHeight="1">
      <x:c r="A78" s="2" t="str">
        <x:v>C26</x:v>
      </x:c>
      <x:c r="B78" s="9" t="str">
        <x:v>Beiersdorf</x:v>
      </x:c>
      <x:c r="C78" s="9" t="str">
        <x:v>Runway</x:v>
      </x:c>
      <x:c r="D78" s="9" t="str">
        <x:v>Проверенных упоминаний в основном корпусе не найдено</x:v>
      </x:c>
      <x:c r="E78" s="9" t="str">
        <x:v>primary: site:beiersdorf.com "Runway" (job OR career OR vacancy OR Stellenangebote) || indexed: "Beiersdorf" "Runway" "AI" (job OR hiring OR career OR vacancy) || linkedin: site:linkedin.com/jobs/view "Beiersdorf" "Runway" || ATS: "Beiersdorf" ("Higgsfield" OR "Runway" OR "Firefly") (site:myworkdayjobs.com OR site:successfactors.com OR site:jobs2web.com OR site:icims.com OR site:avature.net OR site:oraclecloud.com OR site:smartrecruiters.com) || local: "Beiersdorf" (Stelle OR Stellenangebot OR Designer OR Kreativ) "Runway" || exact_broad: "Beiersdorf" "Runway" -site:linkedin.com/in -site:linkedin.com/pub</x:v>
      </x:c>
      <x:c r="F78" s="9" t="str">
        <x:v>Corporate domain beiersdorf.com; indexed public job boards; LinkedIn jobs; common ATS domains (myworkdayjobs.com, successfactors.com, jobs2web.com, icims.com, avature.net, oraclecloud.com, smartrecruiters.com)</x:v>
      </x:c>
      <x:c r="G78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78" s="9" t="str">
        <x:v>Corporate-domain, unrestricted job, LinkedIn-specific, common ATS index and exact broad queries; local-language where recorded</x:v>
      </x:c>
      <x:c r="I78" s="2" t="str">
        <x:v>2026-10-06</x:v>
      </x:c>
    </x:row>
    <x:row r="79" ht="145" customHeight="1">
      <x:c r="A79" s="2" t="str">
        <x:v>C26</x:v>
      </x:c>
      <x:c r="B79" s="9" t="str">
        <x:v>Beiersdorf</x:v>
      </x:c>
      <x:c r="C79" s="9" t="str">
        <x:v>Firefly</x:v>
      </x:c>
      <x:c r="D79" s="9" t="str">
        <x:v>Проверенных упоминаний в основном корпусе не найдено</x:v>
      </x:c>
      <x:c r="E79" s="9" t="str">
        <x:v>primary: site:beiersdorf.com "Firefly" (job OR career OR vacancy OR Stellenangebote) || indexed: "Beiersdorf" "Firefly" (job OR hiring OR career OR vacancy) || linkedin: site:linkedin.com/jobs/view "Beiersdorf" "Firefly" || ATS: "Beiersdorf" ("Higgsfield" OR "Runway" OR "Firefly") (site:myworkdayjobs.com OR site:successfactors.com OR site:jobs2web.com OR site:icims.com OR site:avature.net OR site:oraclecloud.com OR site:smartrecruiters.com) || local: "Beiersdorf" (Stelle OR Stellenangebot OR Designer OR Kreativ) "Firefly" || exact_broad: "Beiersdorf" "Firefly" -site:linkedin.com/in -site:linkedin.com/pub</x:v>
      </x:c>
      <x:c r="F79" s="9" t="str">
        <x:v>Corporate domain beiersdorf.com; indexed public job boards; LinkedIn jobs; common ATS domains (myworkdayjobs.com, successfactors.com, jobs2web.com, icims.com, avature.net, oraclecloud.com, smartrecruiters.com)</x:v>
      </x:c>
      <x:c r="G79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79" s="9" t="str">
        <x:v>Corporate-domain, unrestricted job, LinkedIn-specific, common ATS index and exact broad queries; local-language where recorded</x:v>
      </x:c>
      <x:c r="I79" s="2" t="str">
        <x:v>2026-10-06</x:v>
      </x:c>
    </x:row>
    <x:row r="80" ht="145" customHeight="1">
      <x:c r="A80" s="2" t="str">
        <x:v>C27</x:v>
      </x:c>
      <x:c r="B80" s="9" t="str">
        <x:v>Shiseido</x:v>
      </x:c>
      <x:c r="C80" s="9" t="str">
        <x:v>Higgsfield</x:v>
      </x:c>
      <x:c r="D80" s="9" t="str">
        <x:v>Проверенных упоминаний в основном корпусе не найдено</x:v>
      </x:c>
      <x:c r="E80" s="9" t="str">
        <x:v>primary: site:shiseido.com "Higgsfield" (job OR career OR vacancy OR Stellenangebote) || indexed: "Shiseido" "Higgsfield" (job OR hiring OR career OR vacancy) || linkedin: site:linkedin.com/jobs/view "Shiseido" "Higgsfield" || ATS: "Shiseido" ("Higgsfield" OR "Runway" OR "Firefly") (site:myworkdayjobs.com OR site:successfactors.com OR site:jobs2web.com OR site:icims.com OR site:avature.net OR site:oraclecloud.com OR site:smartrecruiters.com) || local: "資生堂" (採用 OR 求人 OR デザイナー) "Higgsfield" || exact_broad: "Shiseido" "Higgsfield" -site:linkedin.com/in -site:linkedin.com/pub</x:v>
      </x:c>
      <x:c r="F80" s="9" t="str">
        <x:v>Corporate domain shiseido.com; indexed public job boards; LinkedIn jobs; common ATS domains (myworkdayjobs.com, successfactors.com, jobs2web.com, icims.com, avature.net, oraclecloud.com, smartrecruiters.com)</x:v>
      </x:c>
      <x:c r="G80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80" s="9" t="str">
        <x:v>Corporate-domain, unrestricted job, LinkedIn-specific, common ATS index and exact broad queries; local-language where recorded</x:v>
      </x:c>
      <x:c r="I80" s="2" t="str">
        <x:v>2026-10-06</x:v>
      </x:c>
    </x:row>
    <x:row r="81" ht="145" customHeight="1">
      <x:c r="A81" s="2" t="str">
        <x:v>C27</x:v>
      </x:c>
      <x:c r="B81" s="9" t="str">
        <x:v>Shiseido</x:v>
      </x:c>
      <x:c r="C81" s="9" t="str">
        <x:v>Runway</x:v>
      </x:c>
      <x:c r="D81" s="9" t="str">
        <x:v>Проверенных упоминаний в основном корпусе не найдено</x:v>
      </x:c>
      <x:c r="E81" s="9" t="str">
        <x:v>primary: site:shiseido.com "Runway" (job OR career OR vacancy OR Stellenangebote) || indexed: "Shiseido" "Runway" "AI" (job OR hiring OR career OR vacancy) || linkedin: site:linkedin.com/jobs/view "Shiseido" "Runway" || ATS: "Shiseido" ("Higgsfield" OR "Runway" OR "Firefly") (site:myworkdayjobs.com OR site:successfactors.com OR site:jobs2web.com OR site:icims.com OR site:avature.net OR site:oraclecloud.com OR site:smartrecruiters.com) || local: "資生堂" (採用 OR 求人 OR デザイナー) "Runway" || exact_broad: "Shiseido" "Runway" -site:linkedin.com/in -site:linkedin.com/pub</x:v>
      </x:c>
      <x:c r="F81" s="9" t="str">
        <x:v>Corporate domain shiseido.com; indexed public job boards; LinkedIn jobs; common ATS domains (myworkdayjobs.com, successfactors.com, jobs2web.com, icims.com, avature.net, oraclecloud.com, smartrecruiters.com)</x:v>
      </x:c>
      <x:c r="G81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81" s="9" t="str">
        <x:v>Corporate-domain, unrestricted job, LinkedIn-specific, common ATS index and exact broad queries; local-language where recorded</x:v>
      </x:c>
      <x:c r="I81" s="2" t="str">
        <x:v>2026-10-06</x:v>
      </x:c>
    </x:row>
    <x:row r="82" ht="145" customHeight="1">
      <x:c r="A82" s="2" t="str">
        <x:v>C27</x:v>
      </x:c>
      <x:c r="B82" s="9" t="str">
        <x:v>Shiseido</x:v>
      </x:c>
      <x:c r="C82" s="9" t="str">
        <x:v>Firefly</x:v>
      </x:c>
      <x:c r="D82" s="9" t="str">
        <x:v>Проверенных упоминаний в основном корпусе не найдено</x:v>
      </x:c>
      <x:c r="E82" s="9" t="str">
        <x:v>primary: site:shiseido.com "Firefly" (job OR career OR vacancy OR Stellenangebote) || indexed: "Shiseido" "Firefly" (job OR hiring OR career OR vacancy) || linkedin: site:linkedin.com/jobs/view "Shiseido" "Firefly" || ATS: "Shiseido" ("Higgsfield" OR "Runway" OR "Firefly") (site:myworkdayjobs.com OR site:successfactors.com OR site:jobs2web.com OR site:icims.com OR site:avature.net OR site:oraclecloud.com OR site:smartrecruiters.com) || local: "資生堂" (採用 OR 求人 OR デザイナー) "Firefly" || exact_broad: "Shiseido" "Firefly" -site:linkedin.com/in -site:linkedin.com/pub</x:v>
      </x:c>
      <x:c r="F82" s="9" t="str">
        <x:v>Corporate domain shiseido.com; indexed public job boards; LinkedIn jobs; common ATS domains (myworkdayjobs.com, successfactors.com, jobs2web.com, icims.com, avature.net, oraclecloud.com, smartrecruiters.com)</x:v>
      </x:c>
      <x:c r="G82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82" s="9" t="str">
        <x:v>Corporate-domain, unrestricted job, LinkedIn-specific, common ATS index and exact broad queries; local-language where recorded</x:v>
      </x:c>
      <x:c r="I82" s="2" t="str">
        <x:v>2026-10-06</x:v>
      </x:c>
    </x:row>
    <x:row r="83" ht="145" customHeight="1">
      <x:c r="A83" s="2" t="str">
        <x:v>C28</x:v>
      </x:c>
      <x:c r="B83" s="9" t="str">
        <x:v>Coty</x:v>
      </x:c>
      <x:c r="C83" s="9" t="str">
        <x:v>Higgsfield</x:v>
      </x:c>
      <x:c r="D83" s="9" t="str">
        <x:v>Проверенных упоминаний в основном корпусе не найдено</x:v>
      </x:c>
      <x:c r="E83" s="9" t="str">
        <x:v>primary: site:coty.com "Higgsfield" (job OR career OR vacancy OR Stellenangebote) || indexed: "Coty" "Higgsfield" (job OR hiring OR career OR vacancy) || linkedin: site:linkedin.com/jobs/view "Coty" "Higgsfield" || ATS: "Coty" ("Higgsfield" OR "Runway" OR "Firefly") (site:myworkdayjobs.com OR site:successfactors.com OR site:jobs2web.com OR site:icims.com OR site:avature.net OR site:oraclecloud.com OR site:smartrecruiters.com) || exact_broad: "Coty" "Higgsfield" -site:linkedin.com/in -site:linkedin.com/pub</x:v>
      </x:c>
      <x:c r="F83" s="9" t="str">
        <x:v>Corporate domain coty.com; indexed public job boards; LinkedIn jobs; common ATS domains (myworkdayjobs.com, successfactors.com, jobs2web.com, icims.com, avature.net, oraclecloud.com, smartrecruiters.com)</x:v>
      </x:c>
      <x:c r="G83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83" s="9" t="str">
        <x:v>Corporate-domain, unrestricted job, LinkedIn-specific, common ATS index and exact broad queries; local-language where recorded</x:v>
      </x:c>
      <x:c r="I83" s="2" t="str">
        <x:v>2026-10-06</x:v>
      </x:c>
    </x:row>
    <x:row r="84" ht="145" customHeight="1">
      <x:c r="A84" s="2" t="str">
        <x:v>C28</x:v>
      </x:c>
      <x:c r="B84" s="9" t="str">
        <x:v>Coty</x:v>
      </x:c>
      <x:c r="C84" s="9" t="str">
        <x:v>Runway</x:v>
      </x:c>
      <x:c r="D84" s="9" t="str">
        <x:v>1 вакансий в основном корпусе</x:v>
      </x:c>
      <x:c r="E84" s="9" t="str">
        <x:v>primary: site:coty.com "Runway" (job OR career OR vacancy OR Stellenangebote) || indexed: "Coty" "Runway" "AI" (job OR hiring OR career OR vacancy) || linkedin: site:linkedin.com/jobs/view "Coty" "Runway" || ATS: "Coty" ("Higgsfield" OR "Runway" OR "Firefly") (site:myworkdayjobs.com OR site:successfactors.com OR site:jobs2web.com OR site:icims.com OR site:avature.net OR site:oraclecloud.com OR site:smartrecruiters.com) || exact_broad: "Coty" "Runway" -site:linkedin.com/in -site:linkedin.com/pub</x:v>
      </x:c>
      <x:c r="F84" s="9" t="str">
        <x:v>Corporate domain coty.com; indexed public job boards; LinkedIn jobs; common ATS domains (myworkdayjobs.com, successfactors.com, jobs2web.com, icims.com, avature.net, oraclecloud.com, smartrecruiters.com)</x:v>
      </x:c>
      <x:c r="G84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84" s="9" t="str">
        <x:v>Corporate-domain, unrestricted job, LinkedIn-specific, common ATS index and exact broad queries; local-language where recorded</x:v>
      </x:c>
      <x:c r="I84" s="2" t="str">
        <x:v>2026-10-06</x:v>
      </x:c>
    </x:row>
    <x:row r="85" ht="145" customHeight="1">
      <x:c r="A85" s="2" t="str">
        <x:v>C28</x:v>
      </x:c>
      <x:c r="B85" s="9" t="str">
        <x:v>Coty</x:v>
      </x:c>
      <x:c r="C85" s="9" t="str">
        <x:v>Firefly</x:v>
      </x:c>
      <x:c r="D85" s="9" t="str">
        <x:v>1 вакансий в основном корпусе</x:v>
      </x:c>
      <x:c r="E85" s="9" t="str">
        <x:v>primary: site:coty.com "Firefly" (job OR career OR vacancy OR Stellenangebote) || indexed: "Coty" "Firefly" (job OR hiring OR career OR vacancy) || linkedin: site:linkedin.com/jobs/view "Coty" "Firefly" || ATS: "Coty" ("Higgsfield" OR "Runway" OR "Firefly") (site:myworkdayjobs.com OR site:successfactors.com OR site:jobs2web.com OR site:icims.com OR site:avature.net OR site:oraclecloud.com OR site:smartrecruiters.com) || exact_broad: "Coty" "Firefly" -site:linkedin.com/in -site:linkedin.com/pub</x:v>
      </x:c>
      <x:c r="F85" s="9" t="str">
        <x:v>Corporate domain coty.com; indexed public job boards; LinkedIn jobs; common ATS domains (myworkdayjobs.com, successfactors.com, jobs2web.com, icims.com, avature.net, oraclecloud.com, smartrecruiters.com)</x:v>
      </x:c>
      <x:c r="G85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85" s="9" t="str">
        <x:v>Corporate-domain, unrestricted job, LinkedIn-specific, common ATS index and exact broad queries; local-language where recorded</x:v>
      </x:c>
      <x:c r="I85" s="2" t="str">
        <x:v>2026-10-06</x:v>
      </x:c>
    </x:row>
    <x:row r="86" ht="145" customHeight="1">
      <x:c r="A86" s="2" t="str">
        <x:v>C29</x:v>
      </x:c>
      <x:c r="B86" s="9" t="str">
        <x:v>Kao</x:v>
      </x:c>
      <x:c r="C86" s="9" t="str">
        <x:v>Higgsfield</x:v>
      </x:c>
      <x:c r="D86" s="9" t="str">
        <x:v>Проверенных упоминаний в основном корпусе не найдено</x:v>
      </x:c>
      <x:c r="E86" s="9" t="str">
        <x:v>primary: site:kao.com "Higgsfield" (job OR career OR vacancy OR Stellenangebote) || indexed: "Kao" "Higgsfield" (job OR hiring OR career OR vacancy) || linkedin: site:linkedin.com/jobs/view "Kao" "Higgsfield" || ATS: "Kao" ("Higgsfield" OR "Runway" OR "Firefly") (site:myworkdayjobs.com OR site:successfactors.com OR site:jobs2web.com OR site:icims.com OR site:avature.net OR site:oraclecloud.com OR site:smartrecruiters.com) || local: "花王" (採用 OR 求人 OR デザイナー) "Higgsfield" || exact_broad: "Kao" "Higgsfield" -site:linkedin.com/in -site:linkedin.com/pub</x:v>
      </x:c>
      <x:c r="F86" s="9" t="str">
        <x:v>Corporate domain kao.com; indexed public job boards; LinkedIn jobs; common ATS domains (myworkdayjobs.com, successfactors.com, jobs2web.com, icims.com, avature.net, oraclecloud.com, smartrecruiters.com)</x:v>
      </x:c>
      <x:c r="G86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86" s="9" t="str">
        <x:v>Corporate-domain, unrestricted job, LinkedIn-specific, common ATS index and exact broad queries; local-language where recorded</x:v>
      </x:c>
      <x:c r="I86" s="2" t="str">
        <x:v>2026-10-06</x:v>
      </x:c>
    </x:row>
    <x:row r="87" ht="145" customHeight="1">
      <x:c r="A87" s="2" t="str">
        <x:v>C29</x:v>
      </x:c>
      <x:c r="B87" s="9" t="str">
        <x:v>Kao</x:v>
      </x:c>
      <x:c r="C87" s="9" t="str">
        <x:v>Runway</x:v>
      </x:c>
      <x:c r="D87" s="9" t="str">
        <x:v>Проверенных упоминаний в основном корпусе не найдено</x:v>
      </x:c>
      <x:c r="E87" s="9" t="str">
        <x:v>primary: site:kao.com "Runway" (job OR career OR vacancy OR Stellenangebote) || indexed: "Kao" "Runway" "AI" (job OR hiring OR career OR vacancy) || linkedin: site:linkedin.com/jobs/view "Kao" "Runway" || ATS: "Kao" ("Higgsfield" OR "Runway" OR "Firefly") (site:myworkdayjobs.com OR site:successfactors.com OR site:jobs2web.com OR site:icims.com OR site:avature.net OR site:oraclecloud.com OR site:smartrecruiters.com) || local: "花王" (採用 OR 求人 OR デザイナー) "Runway" || exact_broad: "Kao" "Runway" -site:linkedin.com/in -site:linkedin.com/pub</x:v>
      </x:c>
      <x:c r="F87" s="9" t="str">
        <x:v>Corporate domain kao.com; indexed public job boards; LinkedIn jobs; common ATS domains (myworkdayjobs.com, successfactors.com, jobs2web.com, icims.com, avature.net, oraclecloud.com, smartrecruiters.com)</x:v>
      </x:c>
      <x:c r="G87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87" s="9" t="str">
        <x:v>Corporate-domain, unrestricted job, LinkedIn-specific, common ATS index and exact broad queries; local-language where recorded</x:v>
      </x:c>
      <x:c r="I87" s="2" t="str">
        <x:v>2026-10-06</x:v>
      </x:c>
    </x:row>
    <x:row r="88" ht="145" customHeight="1">
      <x:c r="A88" s="2" t="str">
        <x:v>C29</x:v>
      </x:c>
      <x:c r="B88" s="9" t="str">
        <x:v>Kao</x:v>
      </x:c>
      <x:c r="C88" s="9" t="str">
        <x:v>Firefly</x:v>
      </x:c>
      <x:c r="D88" s="9" t="str">
        <x:v>Проверенных упоминаний в основном корпусе не найдено</x:v>
      </x:c>
      <x:c r="E88" s="9" t="str">
        <x:v>primary: site:kao.com "Firefly" (job OR career OR vacancy OR Stellenangebote) || indexed: "Kao" "Firefly" (job OR hiring OR career OR vacancy) || linkedin: site:linkedin.com/jobs/view "Kao" "Firefly" || ATS: "Kao" ("Higgsfield" OR "Runway" OR "Firefly") (site:myworkdayjobs.com OR site:successfactors.com OR site:jobs2web.com OR site:icims.com OR site:avature.net OR site:oraclecloud.com OR site:smartrecruiters.com) || local: "花王" (採用 OR 求人 OR デザイナー) "Firefly" || exact_broad: "Kao" "Firefly" -site:linkedin.com/in -site:linkedin.com/pub</x:v>
      </x:c>
      <x:c r="F88" s="9" t="str">
        <x:v>Corporate domain kao.com; indexed public job boards; LinkedIn jobs; common ATS domains (myworkdayjobs.com, successfactors.com, jobs2web.com, icims.com, avature.net, oraclecloud.com, smartrecruiters.com)</x:v>
      </x:c>
      <x:c r="G88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88" s="9" t="str">
        <x:v>Corporate-domain, unrestricted job, LinkedIn-specific, common ATS index and exact broad queries; local-language where recorded</x:v>
      </x:c>
      <x:c r="I88" s="2" t="str">
        <x:v>2026-10-06</x:v>
      </x:c>
    </x:row>
    <x:row r="89" ht="145" customHeight="1">
      <x:c r="A89" s="2" t="str">
        <x:v>C30</x:v>
      </x:c>
      <x:c r="B89" s="9" t="str">
        <x:v>Kenvue</x:v>
      </x:c>
      <x:c r="C89" s="9" t="str">
        <x:v>Higgsfield</x:v>
      </x:c>
      <x:c r="D89" s="9" t="str">
        <x:v>Проверенных упоминаний в основном корпусе не найдено</x:v>
      </x:c>
      <x:c r="E89" s="9" t="str">
        <x:v>primary: site:kenvue.com "Higgsfield" (job OR career OR vacancy OR Stellenangebote) || indexed: "Kenvue" "Higgsfield" (job OR hiring OR career OR vacancy) || linkedin: site:linkedin.com/jobs/view "Kenvue" "Higgsfield" || ATS: "Kenvue" ("Higgsfield" OR "Runway" OR "Firefly") (site:myworkdayjobs.com OR site:successfactors.com OR site:jobs2web.com OR site:icims.com OR site:avature.net OR site:oraclecloud.com OR site:smartrecruiters.com) || exact_broad: "Kenvue" "Higgsfield" -site:linkedin.com/in -site:linkedin.com/pub</x:v>
      </x:c>
      <x:c r="F89" s="9" t="str">
        <x:v>Corporate domain kenvue.com; indexed public job boards; LinkedIn jobs; common ATS domains (myworkdayjobs.com, successfactors.com, jobs2web.com, icims.com, avature.net, oraclecloud.com, smartrecruiters.com)</x:v>
      </x:c>
      <x:c r="G89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89" s="9" t="str">
        <x:v>Corporate-domain, unrestricted job, LinkedIn-specific, common ATS index and exact broad queries; local-language where recorded</x:v>
      </x:c>
      <x:c r="I89" s="2" t="str">
        <x:v>2026-10-06</x:v>
      </x:c>
    </x:row>
    <x:row r="90" ht="145" customHeight="1">
      <x:c r="A90" s="2" t="str">
        <x:v>C30</x:v>
      </x:c>
      <x:c r="B90" s="9" t="str">
        <x:v>Kenvue</x:v>
      </x:c>
      <x:c r="C90" s="9" t="str">
        <x:v>Runway</x:v>
      </x:c>
      <x:c r="D90" s="9" t="str">
        <x:v>Проверенных упоминаний в основном корпусе не найдено</x:v>
      </x:c>
      <x:c r="E90" s="9" t="str">
        <x:v>primary: site:kenvue.com "Runway" (job OR career OR vacancy OR Stellenangebote) || indexed: "Kenvue" "Runway" "AI" (job OR hiring OR career OR vacancy) || linkedin: site:linkedin.com/jobs/view "Kenvue" "Runway" || ATS: "Kenvue" ("Higgsfield" OR "Runway" OR "Firefly") (site:myworkdayjobs.com OR site:successfactors.com OR site:jobs2web.com OR site:icims.com OR site:avature.net OR site:oraclecloud.com OR site:smartrecruiters.com) || exact_broad: "Kenvue" "Runway" -site:linkedin.com/in -site:linkedin.com/pub</x:v>
      </x:c>
      <x:c r="F90" s="9" t="str">
        <x:v>Corporate domain kenvue.com; indexed public job boards; LinkedIn jobs; common ATS domains (myworkdayjobs.com, successfactors.com, jobs2web.com, icims.com, avature.net, oraclecloud.com, smartrecruiters.com)</x:v>
      </x:c>
      <x:c r="G90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90" s="9" t="str">
        <x:v>Corporate-domain, unrestricted job, LinkedIn-specific, common ATS index and exact broad queries; local-language where recorded</x:v>
      </x:c>
      <x:c r="I90" s="2" t="str">
        <x:v>2026-10-06</x:v>
      </x:c>
    </x:row>
    <x:row r="91" ht="145" customHeight="1">
      <x:c r="A91" s="2" t="str">
        <x:v>C30</x:v>
      </x:c>
      <x:c r="B91" s="9" t="str">
        <x:v>Kenvue</x:v>
      </x:c>
      <x:c r="C91" s="9" t="str">
        <x:v>Firefly</x:v>
      </x:c>
      <x:c r="D91" s="9" t="str">
        <x:v>Проверенных упоминаний в основном корпусе не найдено</x:v>
      </x:c>
      <x:c r="E91" s="9" t="str">
        <x:v>primary: site:kenvue.com "Firefly" (job OR career OR vacancy OR Stellenangebote) || indexed: "Kenvue" "Firefly" (job OR hiring OR career OR vacancy) || linkedin: site:linkedin.com/jobs/view "Kenvue" "Firefly" || ATS: "Kenvue" ("Higgsfield" OR "Runway" OR "Firefly") (site:myworkdayjobs.com OR site:successfactors.com OR site:jobs2web.com OR site:icims.com OR site:avature.net OR site:oraclecloud.com OR site:smartrecruiters.com) || exact_broad: "Kenvue" "Firefly" -site:linkedin.com/in -site:linkedin.com/pub</x:v>
      </x:c>
      <x:c r="F91" s="9" t="str">
        <x:v>Corporate domain kenvue.com; indexed public job boards; LinkedIn jobs; common ATS domains (myworkdayjobs.com, successfactors.com, jobs2web.com, icims.com, avature.net, oraclecloud.com, smartrecruiters.com)</x:v>
      </x:c>
      <x:c r="G91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91" s="9" t="str">
        <x:v>Corporate-domain, unrestricted job, LinkedIn-specific, common ATS index and exact broad queries; local-language where recorded</x:v>
      </x:c>
      <x:c r="I91" s="2" t="str">
        <x:v>2026-10-06</x:v>
      </x:c>
    </x:row>
    <x:row r="92" ht="145" customHeight="1">
      <x:c r="A92" s="2" t="str">
        <x:v>C31</x:v>
      </x:c>
      <x:c r="B92" s="9" t="str">
        <x:v>Haleon</x:v>
      </x:c>
      <x:c r="C92" s="9" t="str">
        <x:v>Higgsfield</x:v>
      </x:c>
      <x:c r="D92" s="9" t="str">
        <x:v>Проверенных упоминаний в основном корпусе не найдено</x:v>
      </x:c>
      <x:c r="E92" s="9" t="str">
        <x:v>primary: site:haleon.com "Higgsfield" (job OR career OR vacancy OR Stellenangebote) || indexed: "Haleon" "Higgsfield" (job OR hiring OR career OR vacancy) || linkedin: site:linkedin.com/jobs/view "Haleon" "Higgsfield" || ATS: "Haleon" ("Higgsfield" OR "Runway" OR "Firefly") (site:myworkdayjobs.com OR site:successfactors.com OR site:jobs2web.com OR site:icims.com OR site:avature.net OR site:oraclecloud.com OR site:smartrecruiters.com) || exact_broad: "Haleon" "Higgsfield" -site:linkedin.com/in -site:linkedin.com/pub</x:v>
      </x:c>
      <x:c r="F92" s="9" t="str">
        <x:v>Corporate domain haleon.com; indexed public job boards; LinkedIn jobs; common ATS domains (myworkdayjobs.com, successfactors.com, jobs2web.com, icims.com, avature.net, oraclecloud.com, smartrecruiters.com)</x:v>
      </x:c>
      <x:c r="G92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92" s="9" t="str">
        <x:v>Corporate-domain, unrestricted job, LinkedIn-specific, common ATS index and exact broad queries; local-language where recorded</x:v>
      </x:c>
      <x:c r="I92" s="2" t="str">
        <x:v>2026-10-06</x:v>
      </x:c>
    </x:row>
    <x:row r="93" ht="145" customHeight="1">
      <x:c r="A93" s="2" t="str">
        <x:v>C31</x:v>
      </x:c>
      <x:c r="B93" s="9" t="str">
        <x:v>Haleon</x:v>
      </x:c>
      <x:c r="C93" s="9" t="str">
        <x:v>Runway</x:v>
      </x:c>
      <x:c r="D93" s="9" t="str">
        <x:v>Проверенных упоминаний в основном корпусе не найдено</x:v>
      </x:c>
      <x:c r="E93" s="9" t="str">
        <x:v>primary: site:haleon.com "Runway" (job OR career OR vacancy OR Stellenangebote) || indexed: "Haleon" "Runway" "AI" (job OR hiring OR career OR vacancy) || linkedin: site:linkedin.com/jobs/view "Haleon" "Runway" || ATS: "Haleon" ("Higgsfield" OR "Runway" OR "Firefly") (site:myworkdayjobs.com OR site:successfactors.com OR site:jobs2web.com OR site:icims.com OR site:avature.net OR site:oraclecloud.com OR site:smartrecruiters.com) || exact_broad: "Haleon" "Runway" -site:linkedin.com/in -site:linkedin.com/pub</x:v>
      </x:c>
      <x:c r="F93" s="9" t="str">
        <x:v>Corporate domain haleon.com; indexed public job boards; LinkedIn jobs; common ATS domains (myworkdayjobs.com, successfactors.com, jobs2web.com, icims.com, avature.net, oraclecloud.com, smartrecruiters.com)</x:v>
      </x:c>
      <x:c r="G93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93" s="9" t="str">
        <x:v>Corporate-domain, unrestricted job, LinkedIn-specific, common ATS index and exact broad queries; local-language where recorded</x:v>
      </x:c>
      <x:c r="I93" s="2" t="str">
        <x:v>2026-10-06</x:v>
      </x:c>
    </x:row>
    <x:row r="94" ht="145" customHeight="1">
      <x:c r="A94" s="2" t="str">
        <x:v>C31</x:v>
      </x:c>
      <x:c r="B94" s="9" t="str">
        <x:v>Haleon</x:v>
      </x:c>
      <x:c r="C94" s="9" t="str">
        <x:v>Firefly</x:v>
      </x:c>
      <x:c r="D94" s="9" t="str">
        <x:v>Проверенных упоминаний в основном корпусе не найдено</x:v>
      </x:c>
      <x:c r="E94" s="9" t="str">
        <x:v>primary: site:haleon.com "Firefly" (job OR career OR vacancy OR Stellenangebote) || indexed: "Haleon" "Firefly" (job OR hiring OR career OR vacancy) || linkedin: site:linkedin.com/jobs/view "Haleon" "Firefly" || ATS: "Haleon" ("Higgsfield" OR "Runway" OR "Firefly") (site:myworkdayjobs.com OR site:successfactors.com OR site:jobs2web.com OR site:icims.com OR site:avature.net OR site:oraclecloud.com OR site:smartrecruiters.com) || exact_broad: "Haleon" "Firefly" -site:linkedin.com/in -site:linkedin.com/pub</x:v>
      </x:c>
      <x:c r="F94" s="9" t="str">
        <x:v>Corporate domain haleon.com; indexed public job boards; LinkedIn jobs; common ATS domains (myworkdayjobs.com, successfactors.com, jobs2web.com, icims.com, avature.net, oraclecloud.com, smartrecruiters.com)</x:v>
      </x:c>
      <x:c r="G94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94" s="9" t="str">
        <x:v>Corporate-domain, unrestricted job, LinkedIn-specific, common ATS index and exact broad queries; local-language where recorded</x:v>
      </x:c>
      <x:c r="I94" s="2" t="str">
        <x:v>2026-10-06</x:v>
      </x:c>
    </x:row>
    <x:row r="95" ht="145" customHeight="1">
      <x:c r="A95" s="2" t="str">
        <x:v>C32</x:v>
      </x:c>
      <x:c r="B95" s="9" t="str">
        <x:v>Clorox</x:v>
      </x:c>
      <x:c r="C95" s="9" t="str">
        <x:v>Higgsfield</x:v>
      </x:c>
      <x:c r="D95" s="9" t="str">
        <x:v>Проверенных упоминаний в основном корпусе не найдено</x:v>
      </x:c>
      <x:c r="E95" s="9" t="str">
        <x:v>primary: site:thecloroxcompany.com "Higgsfield" (job OR career OR vacancy OR Stellenangebote) || indexed: "Clorox" "Higgsfield" (job OR hiring OR career OR vacancy) || linkedin: site:linkedin.com/jobs/view "Clorox" "Higgsfield" || ATS: "Clorox" ("Higgsfield" OR "Runway" OR "Firefly") (site:myworkdayjobs.com OR site:successfactors.com OR site:jobs2web.com OR site:icims.com OR site:avature.net OR site:oraclecloud.com OR site:smartrecruiters.com) || exact_broad: "Clorox" "Higgsfield" -site:linkedin.com/in -site:linkedin.com/pub</x:v>
      </x:c>
      <x:c r="F95" s="9" t="str">
        <x:v>Corporate domain thecloroxcompany.com; indexed public job boards; LinkedIn jobs; common ATS domains (myworkdayjobs.com, successfactors.com, jobs2web.com, icims.com, avature.net, oraclecloud.com, smartrecruiters.com)</x:v>
      </x:c>
      <x:c r="G95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95" s="9" t="str">
        <x:v>Corporate-domain, unrestricted job, LinkedIn-specific, common ATS index and exact broad queries; local-language where recorded</x:v>
      </x:c>
      <x:c r="I95" s="2" t="str">
        <x:v>2026-10-06</x:v>
      </x:c>
    </x:row>
    <x:row r="96" ht="145" customHeight="1">
      <x:c r="A96" s="2" t="str">
        <x:v>C32</x:v>
      </x:c>
      <x:c r="B96" s="9" t="str">
        <x:v>Clorox</x:v>
      </x:c>
      <x:c r="C96" s="9" t="str">
        <x:v>Runway</x:v>
      </x:c>
      <x:c r="D96" s="9" t="str">
        <x:v>Проверенных упоминаний в основном корпусе не найдено</x:v>
      </x:c>
      <x:c r="E96" s="9" t="str">
        <x:v>primary: site:thecloroxcompany.com "Runway" (job OR career OR vacancy OR Stellenangebote) || indexed: "Clorox" "Runway" "AI" (job OR hiring OR career OR vacancy) || linkedin: site:linkedin.com/jobs/view "Clorox" "Runway" || ATS: "Clorox" ("Higgsfield" OR "Runway" OR "Firefly") (site:myworkdayjobs.com OR site:successfactors.com OR site:jobs2web.com OR site:icims.com OR site:avature.net OR site:oraclecloud.com OR site:smartrecruiters.com) || exact_broad: "Clorox" "Runway" -site:linkedin.com/in -site:linkedin.com/pub</x:v>
      </x:c>
      <x:c r="F96" s="9" t="str">
        <x:v>Corporate domain thecloroxcompany.com; indexed public job boards; LinkedIn jobs; common ATS domains (myworkdayjobs.com, successfactors.com, jobs2web.com, icims.com, avature.net, oraclecloud.com, smartrecruiters.com)</x:v>
      </x:c>
      <x:c r="G96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96" s="9" t="str">
        <x:v>Corporate-domain, unrestricted job, LinkedIn-specific, common ATS index and exact broad queries; local-language where recorded</x:v>
      </x:c>
      <x:c r="I96" s="2" t="str">
        <x:v>2026-10-06</x:v>
      </x:c>
    </x:row>
    <x:row r="97" ht="145" customHeight="1">
      <x:c r="A97" s="2" t="str">
        <x:v>C32</x:v>
      </x:c>
      <x:c r="B97" s="9" t="str">
        <x:v>Clorox</x:v>
      </x:c>
      <x:c r="C97" s="9" t="str">
        <x:v>Firefly</x:v>
      </x:c>
      <x:c r="D97" s="9" t="str">
        <x:v>Проверенных упоминаний в основном корпусе не найдено</x:v>
      </x:c>
      <x:c r="E97" s="9" t="str">
        <x:v>primary: site:thecloroxcompany.com "Firefly" (job OR career OR vacancy OR Stellenangebote) || indexed: "Clorox" "Firefly" (job OR hiring OR career OR vacancy) || linkedin: site:linkedin.com/jobs/view "Clorox" "Firefly" || ATS: "Clorox" ("Higgsfield" OR "Runway" OR "Firefly") (site:myworkdayjobs.com OR site:successfactors.com OR site:jobs2web.com OR site:icims.com OR site:avature.net OR site:oraclecloud.com OR site:smartrecruiters.com) || exact_broad: "Clorox" "Firefly" -site:linkedin.com/in -site:linkedin.com/pub</x:v>
      </x:c>
      <x:c r="F97" s="9" t="str">
        <x:v>Corporate domain thecloroxcompany.com; indexed public job boards; LinkedIn jobs; common ATS domains (myworkdayjobs.com, successfactors.com, jobs2web.com, icims.com, avature.net, oraclecloud.com, smartrecruiters.com)</x:v>
      </x:c>
      <x:c r="G97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97" s="9" t="str">
        <x:v>Corporate-domain, unrestricted job, LinkedIn-specific, common ATS index and exact broad queries; local-language where recorded</x:v>
      </x:c>
      <x:c r="I97" s="2" t="str">
        <x:v>2026-10-06</x:v>
      </x:c>
    </x:row>
    <x:row r="98" ht="145" customHeight="1">
      <x:c r="A98" s="2" t="str">
        <x:v>C33</x:v>
      </x:c>
      <x:c r="B98" s="9" t="str">
        <x:v>Church &amp; Dwight</x:v>
      </x:c>
      <x:c r="C98" s="9" t="str">
        <x:v>Higgsfield</x:v>
      </x:c>
      <x:c r="D98" s="9" t="str">
        <x:v>Проверенных упоминаний в основном корпусе не найдено</x:v>
      </x:c>
      <x:c r="E98" s="9" t="str">
        <x:v>primary: site:churchdwight.com "Higgsfield" (job OR career OR vacancy OR Stellenangebote) || indexed: "Church &amp; Dwight" "Higgsfield" (job OR hiring OR career OR vacancy) || linkedin: site:linkedin.com/jobs/view "Church &amp; Dwight" "Higgsfield" || ATS: "Church &amp; Dwight" ("Higgsfield" OR "Runway" OR "Firefly") (site:myworkdayjobs.com OR site:successfactors.com OR site:jobs2web.com OR site:icims.com OR site:avature.net OR site:oraclecloud.com OR site:smartrecruiters.com) || exact_broad: "Church &amp; Dwight" "Higgsfield" -site:linkedin.com/in -site:linkedin.com/pub</x:v>
      </x:c>
      <x:c r="F98" s="9" t="str">
        <x:v>Corporate domain churchdwight.com; indexed public job boards; LinkedIn jobs; common ATS domains (myworkdayjobs.com, successfactors.com, jobs2web.com, icims.com, avature.net, oraclecloud.com, smartrecruiters.com)</x:v>
      </x:c>
      <x:c r="G98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98" s="9" t="str">
        <x:v>Corporate-domain, unrestricted job, LinkedIn-specific, common ATS index and exact broad queries; local-language where recorded</x:v>
      </x:c>
      <x:c r="I98" s="2" t="str">
        <x:v>2026-10-06</x:v>
      </x:c>
    </x:row>
    <x:row r="99" ht="145" customHeight="1">
      <x:c r="A99" s="2" t="str">
        <x:v>C33</x:v>
      </x:c>
      <x:c r="B99" s="9" t="str">
        <x:v>Church &amp; Dwight</x:v>
      </x:c>
      <x:c r="C99" s="9" t="str">
        <x:v>Runway</x:v>
      </x:c>
      <x:c r="D99" s="9" t="str">
        <x:v>Проверенных упоминаний в основном корпусе не найдено</x:v>
      </x:c>
      <x:c r="E99" s="9" t="str">
        <x:v>primary: site:churchdwight.com "Runway" (job OR career OR vacancy OR Stellenangebote) || indexed: "Church &amp; Dwight" "Runway" "AI" (job OR hiring OR career OR vacancy) || linkedin: site:linkedin.com/jobs/view "Church &amp; Dwight" "Runway" || ATS: "Church &amp; Dwight" ("Higgsfield" OR "Runway" OR "Firefly") (site:myworkdayjobs.com OR site:successfactors.com OR site:jobs2web.com OR site:icims.com OR site:avature.net OR site:oraclecloud.com OR site:smartrecruiters.com) || exact_broad: "Church &amp; Dwight" "Runway" -site:linkedin.com/in -site:linkedin.com/pub</x:v>
      </x:c>
      <x:c r="F99" s="9" t="str">
        <x:v>Corporate domain churchdwight.com; indexed public job boards; LinkedIn jobs; common ATS domains (myworkdayjobs.com, successfactors.com, jobs2web.com, icims.com, avature.net, oraclecloud.com, smartrecruiters.com)</x:v>
      </x:c>
      <x:c r="G99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99" s="9" t="str">
        <x:v>Corporate-domain, unrestricted job, LinkedIn-specific, common ATS index and exact broad queries; local-language where recorded</x:v>
      </x:c>
      <x:c r="I99" s="2" t="str">
        <x:v>2026-10-06</x:v>
      </x:c>
    </x:row>
    <x:row r="100" ht="145" customHeight="1">
      <x:c r="A100" s="2" t="str">
        <x:v>C33</x:v>
      </x:c>
      <x:c r="B100" s="9" t="str">
        <x:v>Church &amp; Dwight</x:v>
      </x:c>
      <x:c r="C100" s="9" t="str">
        <x:v>Firefly</x:v>
      </x:c>
      <x:c r="D100" s="9" t="str">
        <x:v>1 вакансий в основном корпусе</x:v>
      </x:c>
      <x:c r="E100" s="9" t="str">
        <x:v>primary: site:churchdwight.com "Firefly" (job OR career OR vacancy OR Stellenangebote) || indexed: "Church &amp; Dwight" "Firefly" (job OR hiring OR career OR vacancy) || linkedin: site:linkedin.com/jobs/view "Church &amp; Dwight" "Firefly" || ATS: "Church &amp; Dwight" ("Higgsfield" OR "Runway" OR "Firefly") (site:myworkdayjobs.com OR site:successfactors.com OR site:jobs2web.com OR site:icims.com OR site:avature.net OR site:oraclecloud.com OR site:smartrecruiters.com) || exact_broad: "Church &amp; Dwight" "Firefly" -site:linkedin.com/in -site:linkedin.com/pub</x:v>
      </x:c>
      <x:c r="F100" s="9" t="str">
        <x:v>Corporate domain churchdwight.com; indexed public job boards; LinkedIn jobs; common ATS domains (myworkdayjobs.com, successfactors.com, jobs2web.com, icims.com, avature.net, oraclecloud.com, smartrecruiters.com)</x:v>
      </x:c>
      <x:c r="G100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00" s="9" t="str">
        <x:v>Corporate-domain, unrestricted job, LinkedIn-specific, common ATS index and exact broad queries; local-language where recorded</x:v>
      </x:c>
      <x:c r="I100" s="2" t="str">
        <x:v>2026-10-06</x:v>
      </x:c>
    </x:row>
    <x:row r="101" ht="145" customHeight="1">
      <x:c r="A101" s="2" t="str">
        <x:v>C34</x:v>
      </x:c>
      <x:c r="B101" s="9" t="str">
        <x:v>SC Johnson</x:v>
      </x:c>
      <x:c r="C101" s="9" t="str">
        <x:v>Higgsfield</x:v>
      </x:c>
      <x:c r="D101" s="9" t="str">
        <x:v>Проверенных упоминаний в основном корпусе не найдено</x:v>
      </x:c>
      <x:c r="E101" s="9" t="str">
        <x:v>primary: site:scjohnson.com "Higgsfield" (job OR career OR vacancy OR recruitment) || indexed: "SC Johnson" "Higgsfield" (job OR hiring OR career OR vacancy) || linkedin: site:linkedin.com/jobs/view "SC Johnson" "Higgsfield" || ATS: "SC Johnson" ("Higgsfield" OR "Runway" OR "Firefly") (site:myworkdayjobs.com OR site:successfactors.com OR site:jobs2web.com OR site:icims.com OR site:avature.net OR site:oraclecloud.com OR site:smartrecruiters.com) || exact_broad: "SC Johnson" "Higgsfield" -site:linkedin.com/in -site:linkedin.com/pub</x:v>
      </x:c>
      <x:c r="F101" s="9" t="str">
        <x:v>Corporate domain scjohnson.com; indexed public job boards; LinkedIn jobs; common ATS domains (myworkdayjobs.com, successfactors.com, jobs2web.com, icims.com, avature.net, oraclecloud.com, smartrecruiters.com)</x:v>
      </x:c>
      <x:c r="G101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01" s="9" t="str">
        <x:v>Corporate-domain, unrestricted job, LinkedIn-specific, common ATS index and exact broad queries; local-language where recorded</x:v>
      </x:c>
      <x:c r="I101" s="2" t="str">
        <x:v>2026-10-06</x:v>
      </x:c>
    </x:row>
    <x:row r="102" ht="145" customHeight="1">
      <x:c r="A102" s="2" t="str">
        <x:v>C34</x:v>
      </x:c>
      <x:c r="B102" s="9" t="str">
        <x:v>SC Johnson</x:v>
      </x:c>
      <x:c r="C102" s="9" t="str">
        <x:v>Runway</x:v>
      </x:c>
      <x:c r="D102" s="9" t="str">
        <x:v>Проверенных упоминаний в основном корпусе не найдено</x:v>
      </x:c>
      <x:c r="E102" s="9" t="str">
        <x:v>primary: site:scjohnson.com "Runway" (job OR career OR vacancy OR recruitment) || indexed: "SC Johnson" "Runway" "AI" (job OR hiring OR career OR vacancy) || linkedin: site:linkedin.com/jobs/view "SC Johnson" "Runway" || ATS: "SC Johnson" ("Higgsfield" OR "Runway" OR "Firefly") (site:myworkdayjobs.com OR site:successfactors.com OR site:jobs2web.com OR site:icims.com OR site:avature.net OR site:oraclecloud.com OR site:smartrecruiters.com) || exact_broad: "SC Johnson" "Runway" -site:linkedin.com/in -site:linkedin.com/pub</x:v>
      </x:c>
      <x:c r="F102" s="9" t="str">
        <x:v>Corporate domain scjohnson.com; indexed public job boards; LinkedIn jobs; common ATS domains (myworkdayjobs.com, successfactors.com, jobs2web.com, icims.com, avature.net, oraclecloud.com, smartrecruiters.com)</x:v>
      </x:c>
      <x:c r="G102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02" s="9" t="str">
        <x:v>Corporate-domain, unrestricted job, LinkedIn-specific, common ATS index and exact broad queries; local-language where recorded</x:v>
      </x:c>
      <x:c r="I102" s="2" t="str">
        <x:v>2026-10-06</x:v>
      </x:c>
    </x:row>
    <x:row r="103" ht="145" customHeight="1">
      <x:c r="A103" s="2" t="str">
        <x:v>C34</x:v>
      </x:c>
      <x:c r="B103" s="9" t="str">
        <x:v>SC Johnson</x:v>
      </x:c>
      <x:c r="C103" s="9" t="str">
        <x:v>Firefly</x:v>
      </x:c>
      <x:c r="D103" s="9" t="str">
        <x:v>Проверенных упоминаний в основном корпусе не найдено</x:v>
      </x:c>
      <x:c r="E103" s="9" t="str">
        <x:v>primary: site:scjohnson.com "Firefly" (job OR career OR vacancy OR recruitment) || indexed: "SC Johnson" "Firefly" (job OR hiring OR career OR vacancy) || linkedin: site:linkedin.com/jobs/view "SC Johnson" "Firefly" || ATS: "SC Johnson" ("Higgsfield" OR "Runway" OR "Firefly") (site:myworkdayjobs.com OR site:successfactors.com OR site:jobs2web.com OR site:icims.com OR site:avature.net OR site:oraclecloud.com OR site:smartrecruiters.com) || exact_broad: "SC Johnson" "Firefly" -site:linkedin.com/in -site:linkedin.com/pub</x:v>
      </x:c>
      <x:c r="F103" s="9" t="str">
        <x:v>Corporate domain scjohnson.com; indexed public job boards; LinkedIn jobs; common ATS domains (myworkdayjobs.com, successfactors.com, jobs2web.com, icims.com, avature.net, oraclecloud.com, smartrecruiters.com)</x:v>
      </x:c>
      <x:c r="G103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03" s="9" t="str">
        <x:v>Corporate-domain, unrestricted job, LinkedIn-specific, common ATS index and exact broad queries; local-language where recorded</x:v>
      </x:c>
      <x:c r="I103" s="2" t="str">
        <x:v>2026-10-06</x:v>
      </x:c>
    </x:row>
    <x:row r="104" ht="145" customHeight="1">
      <x:c r="A104" s="2" t="str">
        <x:v>C35</x:v>
      </x:c>
      <x:c r="B104" s="9" t="str">
        <x:v>Yili</x:v>
      </x:c>
      <x:c r="C104" s="9" t="str">
        <x:v>Higgsfield</x:v>
      </x:c>
      <x:c r="D104" s="9" t="str">
        <x:v>Проверенных упоминаний в основном корпусе не найдено</x:v>
      </x:c>
      <x:c r="E104" s="9" t="str">
        <x:v>primary: site:yili.com "Higgsfield" (job OR career OR vacancy OR recruitment) || indexed: "Yili" "Higgsfield" (job OR hiring OR career OR vacancy) || linkedin: site:linkedin.com/jobs/view "Yili" "Higgsfield" || ATS: "Yili" ("Higgsfield" OR "Runway" OR "Firefly") (site:myworkdayjobs.com OR site:successfactors.com OR site:jobs2web.com OR site:icims.com OR site:avature.net OR site:oraclecloud.com OR site:smartrecruiters.com) || local: "伊利" (招聘 OR 设计 OR 创意) "Higgsfield" || exact_broad: "Yili" "Higgsfield" -site:linkedin.com/in -site:linkedin.com/pub</x:v>
      </x:c>
      <x:c r="F104" s="9" t="str">
        <x:v>Corporate domain yili.com; indexed public job boards; LinkedIn jobs; common ATS domains (myworkdayjobs.com, successfactors.com, jobs2web.com, icims.com, avature.net, oraclecloud.com, smartrecruiters.com)</x:v>
      </x:c>
      <x:c r="G104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04" s="9" t="str">
        <x:v>Corporate-domain, unrestricted job, LinkedIn-specific, common ATS index and exact broad queries; local-language where recorded</x:v>
      </x:c>
      <x:c r="I104" s="2" t="str">
        <x:v>2026-10-06</x:v>
      </x:c>
    </x:row>
    <x:row r="105" ht="145" customHeight="1">
      <x:c r="A105" s="2" t="str">
        <x:v>C35</x:v>
      </x:c>
      <x:c r="B105" s="9" t="str">
        <x:v>Yili</x:v>
      </x:c>
      <x:c r="C105" s="9" t="str">
        <x:v>Runway</x:v>
      </x:c>
      <x:c r="D105" s="9" t="str">
        <x:v>Проверенных упоминаний в основном корпусе не найдено</x:v>
      </x:c>
      <x:c r="E105" s="9" t="str">
        <x:v>primary: site:yili.com "Runway" (job OR career OR vacancy OR recruitment) || indexed: "Yili" "Runway" "AI" (job OR hiring OR career OR vacancy) || linkedin: site:linkedin.com/jobs/view "Yili" "Runway" || ATS: "Yili" ("Higgsfield" OR "Runway" OR "Firefly") (site:myworkdayjobs.com OR site:successfactors.com OR site:jobs2web.com OR site:icims.com OR site:avature.net OR site:oraclecloud.com OR site:smartrecruiters.com) || local: "伊利" (招聘 OR 设计 OR 创意) "Runway" || exact_broad: "Yili" "Runway" -site:linkedin.com/in -site:linkedin.com/pub</x:v>
      </x:c>
      <x:c r="F105" s="9" t="str">
        <x:v>Corporate domain yili.com; indexed public job boards; LinkedIn jobs; common ATS domains (myworkdayjobs.com, successfactors.com, jobs2web.com, icims.com, avature.net, oraclecloud.com, smartrecruiters.com)</x:v>
      </x:c>
      <x:c r="G105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05" s="9" t="str">
        <x:v>Corporate-domain, unrestricted job, LinkedIn-specific, common ATS index and exact broad queries; local-language where recorded</x:v>
      </x:c>
      <x:c r="I105" s="2" t="str">
        <x:v>2026-10-06</x:v>
      </x:c>
    </x:row>
    <x:row r="106" ht="145" customHeight="1">
      <x:c r="A106" s="2" t="str">
        <x:v>C35</x:v>
      </x:c>
      <x:c r="B106" s="9" t="str">
        <x:v>Yili</x:v>
      </x:c>
      <x:c r="C106" s="9" t="str">
        <x:v>Firefly</x:v>
      </x:c>
      <x:c r="D106" s="9" t="str">
        <x:v>Проверенных упоминаний в основном корпусе не найдено</x:v>
      </x:c>
      <x:c r="E106" s="9" t="str">
        <x:v>primary: site:yili.com "Firefly" (job OR career OR vacancy OR recruitment) || indexed: "Yili" "Firefly" (job OR hiring OR career OR vacancy) || linkedin: site:linkedin.com/jobs/view "Yili" "Firefly" || ATS: "Yili" ("Higgsfield" OR "Runway" OR "Firefly") (site:myworkdayjobs.com OR site:successfactors.com OR site:jobs2web.com OR site:icims.com OR site:avature.net OR site:oraclecloud.com OR site:smartrecruiters.com) || local: "伊利" (招聘 OR 设计 OR 创意) "Firefly" || exact_broad: "Yili" "Firefly" -site:linkedin.com/in -site:linkedin.com/pub</x:v>
      </x:c>
      <x:c r="F106" s="9" t="str">
        <x:v>Corporate domain yili.com; indexed public job boards; LinkedIn jobs; common ATS domains (myworkdayjobs.com, successfactors.com, jobs2web.com, icims.com, avature.net, oraclecloud.com, smartrecruiters.com)</x:v>
      </x:c>
      <x:c r="G106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06" s="9" t="str">
        <x:v>Corporate-domain, unrestricted job, LinkedIn-specific, common ATS index and exact broad queries; local-language where recorded</x:v>
      </x:c>
      <x:c r="I106" s="2" t="str">
        <x:v>2026-10-06</x:v>
      </x:c>
    </x:row>
    <x:row r="107" ht="145" customHeight="1">
      <x:c r="A107" s="2" t="str">
        <x:v>C36</x:v>
      </x:c>
      <x:c r="B107" s="9" t="str">
        <x:v>Mengniu</x:v>
      </x:c>
      <x:c r="C107" s="9" t="str">
        <x:v>Higgsfield</x:v>
      </x:c>
      <x:c r="D107" s="9" t="str">
        <x:v>Проверенных упоминаний в основном корпусе не найдено</x:v>
      </x:c>
      <x:c r="E107" s="9" t="str">
        <x:v>primary: site:mengniu.com.cn "Higgsfield" (job OR career OR vacancy OR recruitment) || indexed: "Mengniu" "Higgsfield" (job OR hiring OR career OR vacancy) || linkedin: site:linkedin.com/jobs/view "Mengniu" "Higgsfield" || ATS: "Mengniu" ("Higgsfield" OR "Runway" OR "Firefly") (site:myworkdayjobs.com OR site:successfactors.com OR site:jobs2web.com OR site:icims.com OR site:avature.net OR site:oraclecloud.com OR site:smartrecruiters.com) || local: "蒙牛" (招聘 OR 设计 OR 创意) "Higgsfield" || exact_broad: "Mengniu" "Higgsfield" -site:linkedin.com/in -site:linkedin.com/pub</x:v>
      </x:c>
      <x:c r="F107" s="9" t="str">
        <x:v>Corporate domain mengniu.com.cn; indexed public job boards; LinkedIn jobs; common ATS domains (myworkdayjobs.com, successfactors.com, jobs2web.com, icims.com, avature.net, oraclecloud.com, smartrecruiters.com)</x:v>
      </x:c>
      <x:c r="G107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07" s="9" t="str">
        <x:v>Corporate-domain, unrestricted job, LinkedIn-specific, common ATS index and exact broad queries; local-language where recorded</x:v>
      </x:c>
      <x:c r="I107" s="2" t="str">
        <x:v>2026-10-06</x:v>
      </x:c>
    </x:row>
    <x:row r="108" ht="145" customHeight="1">
      <x:c r="A108" s="2" t="str">
        <x:v>C36</x:v>
      </x:c>
      <x:c r="B108" s="9" t="str">
        <x:v>Mengniu</x:v>
      </x:c>
      <x:c r="C108" s="9" t="str">
        <x:v>Runway</x:v>
      </x:c>
      <x:c r="D108" s="9" t="str">
        <x:v>Проверенных упоминаний в основном корпусе не найдено</x:v>
      </x:c>
      <x:c r="E108" s="9" t="str">
        <x:v>primary: site:mengniu.com.cn "Runway" (job OR career OR vacancy OR recruitment) || indexed: "Mengniu" "Runway" "AI" (job OR hiring OR career OR vacancy) || linkedin: site:linkedin.com/jobs/view "Mengniu" "Runway" || ATS: "Mengniu" ("Higgsfield" OR "Runway" OR "Firefly") (site:myworkdayjobs.com OR site:successfactors.com OR site:jobs2web.com OR site:icims.com OR site:avature.net OR site:oraclecloud.com OR site:smartrecruiters.com) || local: "蒙牛" (招聘 OR 设计 OR 创意) "Runway" || exact_broad: "Mengniu" "Runway" -site:linkedin.com/in -site:linkedin.com/pub</x:v>
      </x:c>
      <x:c r="F108" s="9" t="str">
        <x:v>Corporate domain mengniu.com.cn; indexed public job boards; LinkedIn jobs; common ATS domains (myworkdayjobs.com, successfactors.com, jobs2web.com, icims.com, avature.net, oraclecloud.com, smartrecruiters.com)</x:v>
      </x:c>
      <x:c r="G108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08" s="9" t="str">
        <x:v>Corporate-domain, unrestricted job, LinkedIn-specific, common ATS index and exact broad queries; local-language where recorded</x:v>
      </x:c>
      <x:c r="I108" s="2" t="str">
        <x:v>2026-10-06</x:v>
      </x:c>
    </x:row>
    <x:row r="109" ht="145" customHeight="1">
      <x:c r="A109" s="2" t="str">
        <x:v>C36</x:v>
      </x:c>
      <x:c r="B109" s="9" t="str">
        <x:v>Mengniu</x:v>
      </x:c>
      <x:c r="C109" s="9" t="str">
        <x:v>Firefly</x:v>
      </x:c>
      <x:c r="D109" s="9" t="str">
        <x:v>Проверенных упоминаний в основном корпусе не найдено</x:v>
      </x:c>
      <x:c r="E109" s="9" t="str">
        <x:v>primary: site:mengniu.com.cn "Firefly" (job OR career OR vacancy OR recruitment) || indexed: "Mengniu" "Firefly" (job OR hiring OR career OR vacancy) || linkedin: site:linkedin.com/jobs/view "Mengniu" "Firefly" || ATS: "Mengniu" ("Higgsfield" OR "Runway" OR "Firefly") (site:myworkdayjobs.com OR site:successfactors.com OR site:jobs2web.com OR site:icims.com OR site:avature.net OR site:oraclecloud.com OR site:smartrecruiters.com) || local: "蒙牛" (招聘 OR 设计 OR 创意) "Firefly" || exact_broad: "Mengniu" "Firefly" -site:linkedin.com/in -site:linkedin.com/pub</x:v>
      </x:c>
      <x:c r="F109" s="9" t="str">
        <x:v>Corporate domain mengniu.com.cn; indexed public job boards; LinkedIn jobs; common ATS domains (myworkdayjobs.com, successfactors.com, jobs2web.com, icims.com, avature.net, oraclecloud.com, smartrecruiters.com)</x:v>
      </x:c>
      <x:c r="G109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09" s="9" t="str">
        <x:v>Corporate-domain, unrestricted job, LinkedIn-specific, common ATS index and exact broad queries; local-language where recorded</x:v>
      </x:c>
      <x:c r="I109" s="2" t="str">
        <x:v>2026-10-06</x:v>
      </x:c>
    </x:row>
    <x:row r="110" ht="145" customHeight="1">
      <x:c r="A110" s="2" t="str">
        <x:v>C37</x:v>
      </x:c>
      <x:c r="B110" s="9" t="str">
        <x:v>Lactalis</x:v>
      </x:c>
      <x:c r="C110" s="9" t="str">
        <x:v>Higgsfield</x:v>
      </x:c>
      <x:c r="D110" s="9" t="str">
        <x:v>Проверенных упоминаний в основном корпусе не найдено</x:v>
      </x:c>
      <x:c r="E110" s="9" t="str">
        <x:v>primary: site:lactalis.com "Higgsfield" (job OR career OR vacancy OR recruitment) || indexed: "Lactalis" "Higgsfield" (job OR hiring OR career OR vacancy) || linkedin: site:linkedin.com/jobs/view "Lactalis" "Higgsfield" || ATS: "Lactalis" ("Higgsfield" OR "Runway" OR "Firefly") (site:myworkdayjobs.com OR site:successfactors.com OR site:jobs2web.com OR site:icims.com OR site:avature.net OR site:oraclecloud.com OR site:smartrecruiters.com) || local: "Lactalis" (emploi OR recrutement OR créatif OR graphiste) "Higgsfield" || exact_broad: "Lactalis" "Higgsfield" -site:linkedin.com/in -site:linkedin.com/pub</x:v>
      </x:c>
      <x:c r="F110" s="9" t="str">
        <x:v>Corporate domain lactalis.com; indexed public job boards; LinkedIn jobs; common ATS domains (myworkdayjobs.com, successfactors.com, jobs2web.com, icims.com, avature.net, oraclecloud.com, smartrecruiters.com)</x:v>
      </x:c>
      <x:c r="G110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10" s="9" t="str">
        <x:v>Corporate-domain, unrestricted job, LinkedIn-specific, common ATS index and exact broad queries; local-language where recorded</x:v>
      </x:c>
      <x:c r="I110" s="2" t="str">
        <x:v>2026-10-06</x:v>
      </x:c>
    </x:row>
    <x:row r="111" ht="145" customHeight="1">
      <x:c r="A111" s="2" t="str">
        <x:v>C37</x:v>
      </x:c>
      <x:c r="B111" s="9" t="str">
        <x:v>Lactalis</x:v>
      </x:c>
      <x:c r="C111" s="9" t="str">
        <x:v>Runway</x:v>
      </x:c>
      <x:c r="D111" s="9" t="str">
        <x:v>Проверенных упоминаний в основном корпусе не найдено</x:v>
      </x:c>
      <x:c r="E111" s="9" t="str">
        <x:v>primary: site:lactalis.com "Runway" (job OR career OR vacancy OR recruitment) || indexed: "Lactalis" "Runway" "AI" (job OR hiring OR career OR vacancy) || linkedin: site:linkedin.com/jobs/view "Lactalis" "Runway" || ATS: "Lactalis" ("Higgsfield" OR "Runway" OR "Firefly") (site:myworkdayjobs.com OR site:successfactors.com OR site:jobs2web.com OR site:icims.com OR site:avature.net OR site:oraclecloud.com OR site:smartrecruiters.com) || local: "Lactalis" (emploi OR recrutement OR créatif OR graphiste) "Runway" || exact_broad: "Lactalis" "Runway" -site:linkedin.com/in -site:linkedin.com/pub</x:v>
      </x:c>
      <x:c r="F111" s="9" t="str">
        <x:v>Corporate domain lactalis.com; indexed public job boards; LinkedIn jobs; common ATS domains (myworkdayjobs.com, successfactors.com, jobs2web.com, icims.com, avature.net, oraclecloud.com, smartrecruiters.com)</x:v>
      </x:c>
      <x:c r="G111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11" s="9" t="str">
        <x:v>Corporate-domain, unrestricted job, LinkedIn-specific, common ATS index and exact broad queries; local-language where recorded</x:v>
      </x:c>
      <x:c r="I111" s="2" t="str">
        <x:v>2026-10-06</x:v>
      </x:c>
    </x:row>
    <x:row r="112" ht="145" customHeight="1">
      <x:c r="A112" s="2" t="str">
        <x:v>C37</x:v>
      </x:c>
      <x:c r="B112" s="9" t="str">
        <x:v>Lactalis</x:v>
      </x:c>
      <x:c r="C112" s="9" t="str">
        <x:v>Firefly</x:v>
      </x:c>
      <x:c r="D112" s="9" t="str">
        <x:v>Проверенных упоминаний в основном корпусе не найдено</x:v>
      </x:c>
      <x:c r="E112" s="9" t="str">
        <x:v>primary: site:lactalis.com "Firefly" (job OR career OR vacancy OR recruitment) || indexed: "Lactalis" "Firefly" (job OR hiring OR career OR vacancy) || linkedin: site:linkedin.com/jobs/view "Lactalis" "Firefly" || ATS: "Lactalis" ("Higgsfield" OR "Runway" OR "Firefly") (site:myworkdayjobs.com OR site:successfactors.com OR site:jobs2web.com OR site:icims.com OR site:avature.net OR site:oraclecloud.com OR site:smartrecruiters.com) || local: "Lactalis" (emploi OR recrutement OR créatif OR graphiste) "Firefly" || exact_broad: "Lactalis" "Firefly" -site:linkedin.com/in -site:linkedin.com/pub</x:v>
      </x:c>
      <x:c r="F112" s="9" t="str">
        <x:v>Corporate domain lactalis.com; indexed public job boards; LinkedIn jobs; common ATS domains (myworkdayjobs.com, successfactors.com, jobs2web.com, icims.com, avature.net, oraclecloud.com, smartrecruiters.com)</x:v>
      </x:c>
      <x:c r="G112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12" s="9" t="str">
        <x:v>Corporate-domain, unrestricted job, LinkedIn-specific, common ATS index and exact broad queries; local-language where recorded</x:v>
      </x:c>
      <x:c r="I112" s="2" t="str">
        <x:v>2026-10-06</x:v>
      </x:c>
    </x:row>
    <x:row r="113" ht="145" customHeight="1">
      <x:c r="A113" s="2" t="str">
        <x:v>C38</x:v>
      </x:c>
      <x:c r="B113" s="9" t="str">
        <x:v>Fonterra</x:v>
      </x:c>
      <x:c r="C113" s="9" t="str">
        <x:v>Higgsfield</x:v>
      </x:c>
      <x:c r="D113" s="9" t="str">
        <x:v>Проверенных упоминаний в основном корпусе не найдено</x:v>
      </x:c>
      <x:c r="E113" s="9" t="str">
        <x:v>primary: site:fonterra.com "Higgsfield" (job OR career OR vacancy OR recruitment) || indexed: "Fonterra" "Higgsfield" (job OR hiring OR career OR vacancy) || linkedin: site:linkedin.com/jobs/view "Fonterra" "Higgsfield" || ATS: "Fonterra" ("Higgsfield" OR "Runway" OR "Firefly") (site:myworkdayjobs.com OR site:successfactors.com OR site:jobs2web.com OR site:icims.com OR site:avature.net OR site:oraclecloud.com OR site:smartrecruiters.com) || exact_broad: "Fonterra" "Higgsfield" -site:linkedin.com/in -site:linkedin.com/pub</x:v>
      </x:c>
      <x:c r="F113" s="9" t="str">
        <x:v>Corporate domain fonterra.com; indexed public job boards; LinkedIn jobs; common ATS domains (myworkdayjobs.com, successfactors.com, jobs2web.com, icims.com, avature.net, oraclecloud.com, smartrecruiters.com)</x:v>
      </x:c>
      <x:c r="G113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13" s="9" t="str">
        <x:v>Corporate-domain, unrestricted job, LinkedIn-specific, common ATS index and exact broad queries; local-language where recorded</x:v>
      </x:c>
      <x:c r="I113" s="2" t="str">
        <x:v>2026-10-06</x:v>
      </x:c>
    </x:row>
    <x:row r="114" ht="145" customHeight="1">
      <x:c r="A114" s="2" t="str">
        <x:v>C38</x:v>
      </x:c>
      <x:c r="B114" s="9" t="str">
        <x:v>Fonterra</x:v>
      </x:c>
      <x:c r="C114" s="9" t="str">
        <x:v>Runway</x:v>
      </x:c>
      <x:c r="D114" s="9" t="str">
        <x:v>Проверенных упоминаний в основном корпусе не найдено</x:v>
      </x:c>
      <x:c r="E114" s="9" t="str">
        <x:v>primary: site:fonterra.com "Runway" (job OR career OR vacancy OR recruitment) || indexed: "Fonterra" "Runway" "AI" (job OR hiring OR career OR vacancy) || linkedin: site:linkedin.com/jobs/view "Fonterra" "Runway" || ATS: "Fonterra" ("Higgsfield" OR "Runway" OR "Firefly") (site:myworkdayjobs.com OR site:successfactors.com OR site:jobs2web.com OR site:icims.com OR site:avature.net OR site:oraclecloud.com OR site:smartrecruiters.com) || exact_broad: "Fonterra" "Runway" -site:linkedin.com/in -site:linkedin.com/pub</x:v>
      </x:c>
      <x:c r="F114" s="9" t="str">
        <x:v>Corporate domain fonterra.com; indexed public job boards; LinkedIn jobs; common ATS domains (myworkdayjobs.com, successfactors.com, jobs2web.com, icims.com, avature.net, oraclecloud.com, smartrecruiters.com)</x:v>
      </x:c>
      <x:c r="G114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14" s="9" t="str">
        <x:v>Corporate-domain, unrestricted job, LinkedIn-specific, common ATS index and exact broad queries; local-language where recorded</x:v>
      </x:c>
      <x:c r="I114" s="2" t="str">
        <x:v>2026-10-06</x:v>
      </x:c>
    </x:row>
    <x:row r="115" ht="145" customHeight="1">
      <x:c r="A115" s="2" t="str">
        <x:v>C38</x:v>
      </x:c>
      <x:c r="B115" s="9" t="str">
        <x:v>Fonterra</x:v>
      </x:c>
      <x:c r="C115" s="9" t="str">
        <x:v>Firefly</x:v>
      </x:c>
      <x:c r="D115" s="9" t="str">
        <x:v>Проверенных упоминаний в основном корпусе не найдено</x:v>
      </x:c>
      <x:c r="E115" s="9" t="str">
        <x:v>primary: site:fonterra.com "Firefly" (job OR career OR vacancy OR recruitment) || indexed: "Fonterra" "Firefly" (job OR hiring OR career OR vacancy) || linkedin: site:linkedin.com/jobs/view "Fonterra" "Firefly" || ATS: "Fonterra" ("Higgsfield" OR "Runway" OR "Firefly") (site:myworkdayjobs.com OR site:successfactors.com OR site:jobs2web.com OR site:icims.com OR site:avature.net OR site:oraclecloud.com OR site:smartrecruiters.com) || exact_broad: "Fonterra" "Firefly" -site:linkedin.com/in -site:linkedin.com/pub</x:v>
      </x:c>
      <x:c r="F115" s="9" t="str">
        <x:v>Corporate domain fonterra.com; indexed public job boards; LinkedIn jobs; common ATS domains (myworkdayjobs.com, successfactors.com, jobs2web.com, icims.com, avature.net, oraclecloud.com, smartrecruiters.com)</x:v>
      </x:c>
      <x:c r="G115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15" s="9" t="str">
        <x:v>Corporate-domain, unrestricted job, LinkedIn-specific, common ATS index and exact broad queries; local-language where recorded</x:v>
      </x:c>
      <x:c r="I115" s="2" t="str">
        <x:v>2026-10-06</x:v>
      </x:c>
    </x:row>
    <x:row r="116" ht="145" customHeight="1">
      <x:c r="A116" s="2" t="str">
        <x:v>C39</x:v>
      </x:c>
      <x:c r="B116" s="9" t="str">
        <x:v>FrieslandCampina</x:v>
      </x:c>
      <x:c r="C116" s="9" t="str">
        <x:v>Higgsfield</x:v>
      </x:c>
      <x:c r="D116" s="9" t="str">
        <x:v>Проверенных упоминаний в основном корпусе не найдено</x:v>
      </x:c>
      <x:c r="E116" s="9" t="str">
        <x:v>primary: site:frieslandcampina.com "Higgsfield" (job OR career OR vacancy OR recruitment) || indexed: "FrieslandCampina" "Higgsfield" (job OR hiring OR career OR vacancy) || linkedin: site:linkedin.com/jobs/view "FrieslandCampina" "Higgsfield" || ATS: "FrieslandCampina" ("Higgsfield" OR "Runway" OR "Firefly") (site:myworkdayjobs.com OR site:successfactors.com OR site:jobs2web.com OR site:icims.com OR site:avature.net OR site:oraclecloud.com OR site:smartrecruiters.com) || local: "FrieslandCampina" (vacature OR vormgever OR ontwerper) "Higgsfield" || exact_broad: "FrieslandCampina" "Higgsfield" -site:linkedin.com/in -site:linkedin.com/pub</x:v>
      </x:c>
      <x:c r="F116" s="9" t="str">
        <x:v>Corporate domain frieslandcampina.com; indexed public job boards; LinkedIn jobs; common ATS domains (myworkdayjobs.com, successfactors.com, jobs2web.com, icims.com, avature.net, oraclecloud.com, smartrecruiters.com)</x:v>
      </x:c>
      <x:c r="G116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16" s="9" t="str">
        <x:v>Corporate-domain, unrestricted job, LinkedIn-specific, common ATS index and exact broad queries; local-language where recorded</x:v>
      </x:c>
      <x:c r="I116" s="2" t="str">
        <x:v>2026-10-06</x:v>
      </x:c>
    </x:row>
    <x:row r="117" ht="145" customHeight="1">
      <x:c r="A117" s="2" t="str">
        <x:v>C39</x:v>
      </x:c>
      <x:c r="B117" s="9" t="str">
        <x:v>FrieslandCampina</x:v>
      </x:c>
      <x:c r="C117" s="9" t="str">
        <x:v>Runway</x:v>
      </x:c>
      <x:c r="D117" s="9" t="str">
        <x:v>Проверенных упоминаний в основном корпусе не найдено</x:v>
      </x:c>
      <x:c r="E117" s="9" t="str">
        <x:v>primary: site:frieslandcampina.com "Runway" (job OR career OR vacancy OR recruitment) || indexed: "FrieslandCampina" "Runway" "AI" (job OR hiring OR career OR vacancy) || linkedin: site:linkedin.com/jobs/view "FrieslandCampina" "Runway" || ATS: "FrieslandCampina" ("Higgsfield" OR "Runway" OR "Firefly") (site:myworkdayjobs.com OR site:successfactors.com OR site:jobs2web.com OR site:icims.com OR site:avature.net OR site:oraclecloud.com OR site:smartrecruiters.com) || local: "FrieslandCampina" (vacature OR vormgever OR ontwerper) "Runway" || exact_broad: "FrieslandCampina" "Runway" -site:linkedin.com/in -site:linkedin.com/pub</x:v>
      </x:c>
      <x:c r="F117" s="9" t="str">
        <x:v>Corporate domain frieslandcampina.com; indexed public job boards; LinkedIn jobs; common ATS domains (myworkdayjobs.com, successfactors.com, jobs2web.com, icims.com, avature.net, oraclecloud.com, smartrecruiters.com)</x:v>
      </x:c>
      <x:c r="G117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17" s="9" t="str">
        <x:v>Corporate-domain, unrestricted job, LinkedIn-specific, common ATS index and exact broad queries; local-language where recorded</x:v>
      </x:c>
      <x:c r="I117" s="2" t="str">
        <x:v>2026-10-06</x:v>
      </x:c>
    </x:row>
    <x:row r="118" ht="145" customHeight="1">
      <x:c r="A118" s="2" t="str">
        <x:v>C39</x:v>
      </x:c>
      <x:c r="B118" s="9" t="str">
        <x:v>FrieslandCampina</x:v>
      </x:c>
      <x:c r="C118" s="9" t="str">
        <x:v>Firefly</x:v>
      </x:c>
      <x:c r="D118" s="9" t="str">
        <x:v>Проверенных упоминаний в основном корпусе не найдено</x:v>
      </x:c>
      <x:c r="E118" s="9" t="str">
        <x:v>primary: site:frieslandcampina.com "Firefly" (job OR career OR vacancy OR recruitment) || indexed: "FrieslandCampina" "Firefly" (job OR hiring OR career OR vacancy) || linkedin: site:linkedin.com/jobs/view "FrieslandCampina" "Firefly" || ATS: "FrieslandCampina" ("Higgsfield" OR "Runway" OR "Firefly") (site:myworkdayjobs.com OR site:successfactors.com OR site:jobs2web.com OR site:icims.com OR site:avature.net OR site:oraclecloud.com OR site:smartrecruiters.com) || local: "FrieslandCampina" (vacature OR vormgever OR ontwerper) "Firefly" || exact_broad: "FrieslandCampina" "Firefly" -site:linkedin.com/in -site:linkedin.com/pub</x:v>
      </x:c>
      <x:c r="F118" s="9" t="str">
        <x:v>Corporate domain frieslandcampina.com; indexed public job boards; LinkedIn jobs; common ATS domains (myworkdayjobs.com, successfactors.com, jobs2web.com, icims.com, avature.net, oraclecloud.com, smartrecruiters.com)</x:v>
      </x:c>
      <x:c r="G118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18" s="9" t="str">
        <x:v>Corporate-domain, unrestricted job, LinkedIn-specific, common ATS index and exact broad queries; local-language where recorded</x:v>
      </x:c>
      <x:c r="I118" s="2" t="str">
        <x:v>2026-10-06</x:v>
      </x:c>
    </x:row>
    <x:row r="119" ht="145" customHeight="1">
      <x:c r="A119" s="2" t="str">
        <x:v>C40</x:v>
      </x:c>
      <x:c r="B119" s="9" t="str">
        <x:v>Arla Foods</x:v>
      </x:c>
      <x:c r="C119" s="9" t="str">
        <x:v>Higgsfield</x:v>
      </x:c>
      <x:c r="D119" s="9" t="str">
        <x:v>Проверенных упоминаний в основном корпусе не найдено</x:v>
      </x:c>
      <x:c r="E119" s="9" t="str">
        <x:v>primary: site:arla.com "Higgsfield" (job OR career OR vacancy OR recruitment) || indexed: "Arla Foods" "Higgsfield" (job OR hiring OR career OR vacancy) || linkedin: site:linkedin.com/jobs/view "Arla Foods" "Higgsfield" || ATS: "Arla Foods" ("Higgsfield" OR "Runway" OR "Firefly") (site:myworkdayjobs.com OR site:successfactors.com OR site:jobs2web.com OR site:icims.com OR site:avature.net OR site:oraclecloud.com OR site:smartrecruiters.com) || local: "Arla" (job OR stilling OR designer) "Higgsfield" || exact_broad: "Arla Foods" "Higgsfield" -site:linkedin.com/in -site:linkedin.com/pub</x:v>
      </x:c>
      <x:c r="F119" s="9" t="str">
        <x:v>Corporate domain arla.com; indexed public job boards; LinkedIn jobs; common ATS domains (myworkdayjobs.com, successfactors.com, jobs2web.com, icims.com, avature.net, oraclecloud.com, smartrecruiters.com)</x:v>
      </x:c>
      <x:c r="G119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19" s="9" t="str">
        <x:v>Corporate-domain, unrestricted job, LinkedIn-specific, common ATS index and exact broad queries; local-language where recorded</x:v>
      </x:c>
      <x:c r="I119" s="2" t="str">
        <x:v>2026-10-06</x:v>
      </x:c>
    </x:row>
    <x:row r="120" ht="145" customHeight="1">
      <x:c r="A120" s="2" t="str">
        <x:v>C40</x:v>
      </x:c>
      <x:c r="B120" s="9" t="str">
        <x:v>Arla Foods</x:v>
      </x:c>
      <x:c r="C120" s="9" t="str">
        <x:v>Runway</x:v>
      </x:c>
      <x:c r="D120" s="9" t="str">
        <x:v>Проверенных упоминаний в основном корпусе не найдено</x:v>
      </x:c>
      <x:c r="E120" s="9" t="str">
        <x:v>primary: site:arla.com "Runway" (job OR career OR vacancy OR recruitment) || indexed: "Arla Foods" "Runway" "AI" (job OR hiring OR career OR vacancy) || linkedin: site:linkedin.com/jobs/view "Arla Foods" "Runway" || ATS: "Arla Foods" ("Higgsfield" OR "Runway" OR "Firefly") (site:myworkdayjobs.com OR site:successfactors.com OR site:jobs2web.com OR site:icims.com OR site:avature.net OR site:oraclecloud.com OR site:smartrecruiters.com) || local: "Arla" (job OR stilling OR designer) "Runway" || exact_broad: "Arla Foods" "Runway" -site:linkedin.com/in -site:linkedin.com/pub</x:v>
      </x:c>
      <x:c r="F120" s="9" t="str">
        <x:v>Corporate domain arla.com; indexed public job boards; LinkedIn jobs; common ATS domains (myworkdayjobs.com, successfactors.com, jobs2web.com, icims.com, avature.net, oraclecloud.com, smartrecruiters.com)</x:v>
      </x:c>
      <x:c r="G120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20" s="9" t="str">
        <x:v>Corporate-domain, unrestricted job, LinkedIn-specific, common ATS index and exact broad queries; local-language where recorded</x:v>
      </x:c>
      <x:c r="I120" s="2" t="str">
        <x:v>2026-10-06</x:v>
      </x:c>
    </x:row>
    <x:row r="121" ht="145" customHeight="1">
      <x:c r="A121" s="2" t="str">
        <x:v>C40</x:v>
      </x:c>
      <x:c r="B121" s="9" t="str">
        <x:v>Arla Foods</x:v>
      </x:c>
      <x:c r="C121" s="9" t="str">
        <x:v>Firefly</x:v>
      </x:c>
      <x:c r="D121" s="9" t="str">
        <x:v>Проверенных упоминаний в основном корпусе не найдено</x:v>
      </x:c>
      <x:c r="E121" s="9" t="str">
        <x:v>primary: site:arla.com "Firefly" (job OR career OR vacancy OR recruitment) || indexed: "Arla Foods" "Firefly" (job OR hiring OR career OR vacancy) || linkedin: site:linkedin.com/jobs/view "Arla Foods" "Firefly" || ATS: "Arla Foods" ("Higgsfield" OR "Runway" OR "Firefly") (site:myworkdayjobs.com OR site:successfactors.com OR site:jobs2web.com OR site:icims.com OR site:avature.net OR site:oraclecloud.com OR site:smartrecruiters.com) || local: "Arla" (job OR stilling OR designer) "Firefly" || exact_broad: "Arla Foods" "Firefly" -site:linkedin.com/in -site:linkedin.com/pub</x:v>
      </x:c>
      <x:c r="F121" s="9" t="str">
        <x:v>Corporate domain arla.com; indexed public job boards; LinkedIn jobs; common ATS domains (myworkdayjobs.com, successfactors.com, jobs2web.com, icims.com, avature.net, oraclecloud.com, smartrecruiters.com)</x:v>
      </x:c>
      <x:c r="G121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21" s="9" t="str">
        <x:v>Corporate-domain, unrestricted job, LinkedIn-specific, common ATS index and exact broad queries; local-language where recorded</x:v>
      </x:c>
      <x:c r="I121" s="2" t="str">
        <x:v>2026-10-06</x:v>
      </x:c>
    </x:row>
    <x:row r="122" ht="145" customHeight="1">
      <x:c r="A122" s="2" t="str">
        <x:v>C41</x:v>
      </x:c>
      <x:c r="B122" s="9" t="str">
        <x:v>Saputo</x:v>
      </x:c>
      <x:c r="C122" s="9" t="str">
        <x:v>Higgsfield</x:v>
      </x:c>
      <x:c r="D122" s="9" t="str">
        <x:v>Проверенных упоминаний в основном корпусе не найдено</x:v>
      </x:c>
      <x:c r="E122" s="9" t="str">
        <x:v>primary: site:saputo.com "Higgsfield" (job OR career OR vacancy OR recruitment) || indexed: "Saputo" "Higgsfield" (job OR hiring OR career OR vacancy) || linkedin: site:linkedin.com/jobs/view "Saputo" "Higgsfield" || ATS: "Saputo" ("Higgsfield" OR "Runway" OR "Firefly") (site:myworkdayjobs.com OR site:successfactors.com OR site:jobs2web.com OR site:icims.com OR site:avature.net OR site:oraclecloud.com OR site:smartrecruiters.com) || local: "Saputo" (emploi OR recrutement OR graphiste) "Higgsfield" || exact_broad: "Saputo" "Higgsfield" -site:linkedin.com/in -site:linkedin.com/pub</x:v>
      </x:c>
      <x:c r="F122" s="9" t="str">
        <x:v>Corporate domain saputo.com; indexed public job boards; LinkedIn jobs; common ATS domains (myworkdayjobs.com, successfactors.com, jobs2web.com, icims.com, avature.net, oraclecloud.com, smartrecruiters.com)</x:v>
      </x:c>
      <x:c r="G122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22" s="9" t="str">
        <x:v>Corporate-domain, unrestricted job, LinkedIn-specific, common ATS index and exact broad queries; local-language where recorded</x:v>
      </x:c>
      <x:c r="I122" s="2" t="str">
        <x:v>2026-10-06</x:v>
      </x:c>
    </x:row>
    <x:row r="123" ht="145" customHeight="1">
      <x:c r="A123" s="2" t="str">
        <x:v>C41</x:v>
      </x:c>
      <x:c r="B123" s="9" t="str">
        <x:v>Saputo</x:v>
      </x:c>
      <x:c r="C123" s="9" t="str">
        <x:v>Runway</x:v>
      </x:c>
      <x:c r="D123" s="9" t="str">
        <x:v>Проверенных упоминаний в основном корпусе не найдено</x:v>
      </x:c>
      <x:c r="E123" s="9" t="str">
        <x:v>primary: site:saputo.com "Runway" (job OR career OR vacancy OR recruitment) || indexed: "Saputo" "Runway" "AI" (job OR hiring OR career OR vacancy) || linkedin: site:linkedin.com/jobs/view "Saputo" "Runway" || ATS: "Saputo" ("Higgsfield" OR "Runway" OR "Firefly") (site:myworkdayjobs.com OR site:successfactors.com OR site:jobs2web.com OR site:icims.com OR site:avature.net OR site:oraclecloud.com OR site:smartrecruiters.com) || local: "Saputo" (emploi OR recrutement OR graphiste) "Runway" || exact_broad: "Saputo" "Runway" -site:linkedin.com/in -site:linkedin.com/pub</x:v>
      </x:c>
      <x:c r="F123" s="9" t="str">
        <x:v>Corporate domain saputo.com; indexed public job boards; LinkedIn jobs; common ATS domains (myworkdayjobs.com, successfactors.com, jobs2web.com, icims.com, avature.net, oraclecloud.com, smartrecruiters.com)</x:v>
      </x:c>
      <x:c r="G123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23" s="9" t="str">
        <x:v>Corporate-domain, unrestricted job, LinkedIn-specific, common ATS index and exact broad queries; local-language where recorded</x:v>
      </x:c>
      <x:c r="I123" s="2" t="str">
        <x:v>2026-10-06</x:v>
      </x:c>
    </x:row>
    <x:row r="124" ht="145" customHeight="1">
      <x:c r="A124" s="2" t="str">
        <x:v>C41</x:v>
      </x:c>
      <x:c r="B124" s="9" t="str">
        <x:v>Saputo</x:v>
      </x:c>
      <x:c r="C124" s="9" t="str">
        <x:v>Firefly</x:v>
      </x:c>
      <x:c r="D124" s="9" t="str">
        <x:v>Проверенных упоминаний в основном корпусе не найдено</x:v>
      </x:c>
      <x:c r="E124" s="9" t="str">
        <x:v>primary: site:saputo.com "Firefly" (job OR career OR vacancy OR recruitment) || indexed: "Saputo" "Firefly" (job OR hiring OR career OR vacancy) || linkedin: site:linkedin.com/jobs/view "Saputo" "Firefly" || ATS: "Saputo" ("Higgsfield" OR "Runway" OR "Firefly") (site:myworkdayjobs.com OR site:successfactors.com OR site:jobs2web.com OR site:icims.com OR site:avature.net OR site:oraclecloud.com OR site:smartrecruiters.com) || local: "Saputo" (emploi OR recrutement OR graphiste) "Firefly" || exact_broad: "Saputo" "Firefly" -site:linkedin.com/in -site:linkedin.com/pub</x:v>
      </x:c>
      <x:c r="F124" s="9" t="str">
        <x:v>Corporate domain saputo.com; indexed public job boards; LinkedIn jobs; common ATS domains (myworkdayjobs.com, successfactors.com, jobs2web.com, icims.com, avature.net, oraclecloud.com, smartrecruiters.com)</x:v>
      </x:c>
      <x:c r="G124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24" s="9" t="str">
        <x:v>Corporate-domain, unrestricted job, LinkedIn-specific, common ATS index and exact broad queries; local-language where recorded</x:v>
      </x:c>
      <x:c r="I124" s="2" t="str">
        <x:v>2026-10-06</x:v>
      </x:c>
    </x:row>
    <x:row r="125" ht="145" customHeight="1">
      <x:c r="A125" s="2" t="str">
        <x:v>C42</x:v>
      </x:c>
      <x:c r="B125" s="9" t="str">
        <x:v>JBS</x:v>
      </x:c>
      <x:c r="C125" s="9" t="str">
        <x:v>Higgsfield</x:v>
      </x:c>
      <x:c r="D125" s="9" t="str">
        <x:v>Проверенных упоминаний в основном корпусе не найдено</x:v>
      </x:c>
      <x:c r="E125" s="9" t="str">
        <x:v>primary: site:jbssa.com "Higgsfield" (job OR career OR vacancy OR recruitment) || indexed: "JBS" "Higgsfield" (job OR hiring OR career OR vacancy) || linkedin: site:linkedin.com/jobs/view "JBS" "Higgsfield" || ATS: "JBS" ("Higgsfield" OR "Runway" OR "Firefly") (site:myworkdayjobs.com OR site:successfactors.com OR site:jobs2web.com OR site:icims.com OR site:avature.net OR site:oraclecloud.com OR site:smartrecruiters.com) || local: "JBS" (vaga OR vagas OR designer OR criativo) "Higgsfield" || exact_broad: "JBS" "Higgsfield" -site:linkedin.com/in -site:linkedin.com/pub</x:v>
      </x:c>
      <x:c r="F125" s="9" t="str">
        <x:v>Corporate domain jbssa.com; indexed public job boards; LinkedIn jobs; common ATS domains (myworkdayjobs.com, successfactors.com, jobs2web.com, icims.com, avature.net, oraclecloud.com, smartrecruiters.com)</x:v>
      </x:c>
      <x:c r="G125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25" s="9" t="str">
        <x:v>Corporate-domain, unrestricted job, LinkedIn-specific, common ATS index and exact broad queries; local-language where recorded</x:v>
      </x:c>
      <x:c r="I125" s="2" t="str">
        <x:v>2026-10-06</x:v>
      </x:c>
    </x:row>
    <x:row r="126" ht="145" customHeight="1">
      <x:c r="A126" s="2" t="str">
        <x:v>C42</x:v>
      </x:c>
      <x:c r="B126" s="9" t="str">
        <x:v>JBS</x:v>
      </x:c>
      <x:c r="C126" s="9" t="str">
        <x:v>Runway</x:v>
      </x:c>
      <x:c r="D126" s="9" t="str">
        <x:v>Проверенных упоминаний в основном корпусе не найдено</x:v>
      </x:c>
      <x:c r="E126" s="9" t="str">
        <x:v>primary: site:jbssa.com "Runway" (job OR career OR vacancy OR recruitment) || indexed: "JBS" "Runway" "AI" (job OR hiring OR career OR vacancy) || linkedin: site:linkedin.com/jobs/view "JBS" "Runway" || ATS: "JBS" ("Higgsfield" OR "Runway" OR "Firefly") (site:myworkdayjobs.com OR site:successfactors.com OR site:jobs2web.com OR site:icims.com OR site:avature.net OR site:oraclecloud.com OR site:smartrecruiters.com) || local: "JBS" (vaga OR vagas OR designer OR criativo) "Runway" || exact_broad: "JBS" "Runway" -site:linkedin.com/in -site:linkedin.com/pub</x:v>
      </x:c>
      <x:c r="F126" s="9" t="str">
        <x:v>Corporate domain jbssa.com; indexed public job boards; LinkedIn jobs; common ATS domains (myworkdayjobs.com, successfactors.com, jobs2web.com, icims.com, avature.net, oraclecloud.com, smartrecruiters.com)</x:v>
      </x:c>
      <x:c r="G126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26" s="9" t="str">
        <x:v>Corporate-domain, unrestricted job, LinkedIn-specific, common ATS index and exact broad queries; local-language where recorded</x:v>
      </x:c>
      <x:c r="I126" s="2" t="str">
        <x:v>2026-10-06</x:v>
      </x:c>
    </x:row>
    <x:row r="127" ht="145" customHeight="1">
      <x:c r="A127" s="2" t="str">
        <x:v>C42</x:v>
      </x:c>
      <x:c r="B127" s="9" t="str">
        <x:v>JBS</x:v>
      </x:c>
      <x:c r="C127" s="9" t="str">
        <x:v>Firefly</x:v>
      </x:c>
      <x:c r="D127" s="9" t="str">
        <x:v>Проверенных упоминаний в основном корпусе не найдено</x:v>
      </x:c>
      <x:c r="E127" s="9" t="str">
        <x:v>primary: site:jbssa.com "Firefly" (job OR career OR vacancy OR recruitment) || indexed: "JBS" "Firefly" (job OR hiring OR career OR vacancy) || linkedin: site:linkedin.com/jobs/view "JBS" "Firefly" || ATS: "JBS" ("Higgsfield" OR "Runway" OR "Firefly") (site:myworkdayjobs.com OR site:successfactors.com OR site:jobs2web.com OR site:icims.com OR site:avature.net OR site:oraclecloud.com OR site:smartrecruiters.com) || local: "JBS" (vaga OR vagas OR designer OR criativo) "Firefly" || exact_broad: "JBS" "Firefly" -site:linkedin.com/in -site:linkedin.com/pub</x:v>
      </x:c>
      <x:c r="F127" s="9" t="str">
        <x:v>Corporate domain jbssa.com; indexed public job boards; LinkedIn jobs; common ATS domains (myworkdayjobs.com, successfactors.com, jobs2web.com, icims.com, avature.net, oraclecloud.com, smartrecruiters.com)</x:v>
      </x:c>
      <x:c r="G127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27" s="9" t="str">
        <x:v>Corporate-domain, unrestricted job, LinkedIn-specific, common ATS index and exact broad queries; local-language where recorded</x:v>
      </x:c>
      <x:c r="I127" s="2" t="str">
        <x:v>2026-10-06</x:v>
      </x:c>
    </x:row>
    <x:row r="128" ht="145" customHeight="1">
      <x:c r="A128" s="2" t="str">
        <x:v>C43</x:v>
      </x:c>
      <x:c r="B128" s="9" t="str">
        <x:v>Tyson Foods</x:v>
      </x:c>
      <x:c r="C128" s="9" t="str">
        <x:v>Higgsfield</x:v>
      </x:c>
      <x:c r="D128" s="9" t="str">
        <x:v>Проверенных упоминаний в основном корпусе не найдено</x:v>
      </x:c>
      <x:c r="E128" s="9" t="str">
        <x:v>primary: site:tysonfoods.com "Higgsfield" (job OR career OR vacancy OR recruitment) || indexed: "Tyson Foods" "Higgsfield" (job OR hiring OR career OR vacancy) || linkedin: site:linkedin.com/jobs/view "Tyson Foods" "Higgsfield" || ATS: "Tyson Foods" ("Higgsfield" OR "Runway" OR "Firefly") (site:myworkdayjobs.com OR site:successfactors.com OR site:jobs2web.com OR site:icims.com OR site:avature.net OR site:oraclecloud.com OR site:smartrecruiters.com) || exact_broad: "Tyson Foods" "Higgsfield" -site:linkedin.com/in -site:linkedin.com/pub</x:v>
      </x:c>
      <x:c r="F128" s="9" t="str">
        <x:v>Corporate domain tysonfoods.com; indexed public job boards; LinkedIn jobs; common ATS domains (myworkdayjobs.com, successfactors.com, jobs2web.com, icims.com, avature.net, oraclecloud.com, smartrecruiters.com)</x:v>
      </x:c>
      <x:c r="G128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28" s="9" t="str">
        <x:v>Corporate-domain, unrestricted job, LinkedIn-specific, common ATS index and exact broad queries; local-language where recorded</x:v>
      </x:c>
      <x:c r="I128" s="2" t="str">
        <x:v>2026-10-06</x:v>
      </x:c>
    </x:row>
    <x:row r="129" ht="145" customHeight="1">
      <x:c r="A129" s="2" t="str">
        <x:v>C43</x:v>
      </x:c>
      <x:c r="B129" s="9" t="str">
        <x:v>Tyson Foods</x:v>
      </x:c>
      <x:c r="C129" s="9" t="str">
        <x:v>Runway</x:v>
      </x:c>
      <x:c r="D129" s="9" t="str">
        <x:v>Проверенных упоминаний в основном корпусе не найдено</x:v>
      </x:c>
      <x:c r="E129" s="9" t="str">
        <x:v>primary: site:tysonfoods.com "Runway" (job OR career OR vacancy OR recruitment) || indexed: "Tyson Foods" "Runway" "AI" (job OR hiring OR career OR vacancy) || linkedin: site:linkedin.com/jobs/view "Tyson Foods" "Runway" || ATS: "Tyson Foods" ("Higgsfield" OR "Runway" OR "Firefly") (site:myworkdayjobs.com OR site:successfactors.com OR site:jobs2web.com OR site:icims.com OR site:avature.net OR site:oraclecloud.com OR site:smartrecruiters.com) || exact_broad: "Tyson Foods" "Runway" -site:linkedin.com/in -site:linkedin.com/pub</x:v>
      </x:c>
      <x:c r="F129" s="9" t="str">
        <x:v>Corporate domain tysonfoods.com; indexed public job boards; LinkedIn jobs; common ATS domains (myworkdayjobs.com, successfactors.com, jobs2web.com, icims.com, avature.net, oraclecloud.com, smartrecruiters.com)</x:v>
      </x:c>
      <x:c r="G129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29" s="9" t="str">
        <x:v>Corporate-domain, unrestricted job, LinkedIn-specific, common ATS index and exact broad queries; local-language where recorded</x:v>
      </x:c>
      <x:c r="I129" s="2" t="str">
        <x:v>2026-10-06</x:v>
      </x:c>
    </x:row>
    <x:row r="130" ht="145" customHeight="1">
      <x:c r="A130" s="2" t="str">
        <x:v>C43</x:v>
      </x:c>
      <x:c r="B130" s="9" t="str">
        <x:v>Tyson Foods</x:v>
      </x:c>
      <x:c r="C130" s="9" t="str">
        <x:v>Firefly</x:v>
      </x:c>
      <x:c r="D130" s="9" t="str">
        <x:v>1 вакансий в основном корпусе</x:v>
      </x:c>
      <x:c r="E130" s="9" t="str">
        <x:v>primary: site:tysonfoods.com "Firefly" (job OR career OR vacancy OR recruitment) || indexed: "Tyson Foods" "Firefly" (job OR hiring OR career OR vacancy) || linkedin: site:linkedin.com/jobs/view "Tyson Foods" "Firefly" || ATS: "Tyson Foods" ("Higgsfield" OR "Runway" OR "Firefly") (site:myworkdayjobs.com OR site:successfactors.com OR site:jobs2web.com OR site:icims.com OR site:avature.net OR site:oraclecloud.com OR site:smartrecruiters.com) || exact_broad: "Tyson Foods" "Firefly" -site:linkedin.com/in -site:linkedin.com/pub</x:v>
      </x:c>
      <x:c r="F130" s="9" t="str">
        <x:v>Corporate domain tysonfoods.com; indexed public job boards; LinkedIn jobs; common ATS domains (myworkdayjobs.com, successfactors.com, jobs2web.com, icims.com, avature.net, oraclecloud.com, smartrecruiters.com)</x:v>
      </x:c>
      <x:c r="G130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30" s="9" t="str">
        <x:v>Corporate-domain, unrestricted job, LinkedIn-specific, common ATS index and exact broad queries; local-language where recorded</x:v>
      </x:c>
      <x:c r="I130" s="2" t="str">
        <x:v>2026-10-06</x:v>
      </x:c>
    </x:row>
    <x:row r="131" ht="145" customHeight="1">
      <x:c r="A131" s="2" t="str">
        <x:v>C44</x:v>
      </x:c>
      <x:c r="B131" s="9" t="str">
        <x:v>WH Group</x:v>
      </x:c>
      <x:c r="C131" s="9" t="str">
        <x:v>Higgsfield</x:v>
      </x:c>
      <x:c r="D131" s="9" t="str">
        <x:v>Проверенных упоминаний в основном корпусе не найдено</x:v>
      </x:c>
      <x:c r="E131" s="9" t="str">
        <x:v>primary: site:wh-group.com "Higgsfield" (job OR career OR vacancy OR recruitment) || indexed: "WH Group" "Higgsfield" (job OR hiring OR career OR vacancy) || linkedin: site:linkedin.com/jobs/view "WH Group" "Higgsfield" || ATS: "WH Group" ("Higgsfield" OR "Runway" OR "Firefly") (site:myworkdayjobs.com OR site:successfactors.com OR site:jobs2web.com OR site:icims.com OR site:avature.net OR site:oraclecloud.com OR site:smartrecruiters.com) || local: ("万洲国际" OR "双汇") (招聘 OR 设计) "Higgsfield" || exact_broad: "WH Group" "Higgsfield" -site:linkedin.com/in -site:linkedin.com/pub</x:v>
      </x:c>
      <x:c r="F131" s="9" t="str">
        <x:v>Corporate domain wh-group.com; indexed public job boards; LinkedIn jobs; common ATS domains (myworkdayjobs.com, successfactors.com, jobs2web.com, icims.com, avature.net, oraclecloud.com, smartrecruiters.com)</x:v>
      </x:c>
      <x:c r="G131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31" s="9" t="str">
        <x:v>Corporate-domain, unrestricted job, LinkedIn-specific, common ATS index and exact broad queries; local-language where recorded</x:v>
      </x:c>
      <x:c r="I131" s="2" t="str">
        <x:v>2026-10-06</x:v>
      </x:c>
    </x:row>
    <x:row r="132" ht="145" customHeight="1">
      <x:c r="A132" s="2" t="str">
        <x:v>C44</x:v>
      </x:c>
      <x:c r="B132" s="9" t="str">
        <x:v>WH Group</x:v>
      </x:c>
      <x:c r="C132" s="9" t="str">
        <x:v>Runway</x:v>
      </x:c>
      <x:c r="D132" s="9" t="str">
        <x:v>Проверенных упоминаний в основном корпусе не найдено</x:v>
      </x:c>
      <x:c r="E132" s="9" t="str">
        <x:v>primary: site:wh-group.com "Runway" (job OR career OR vacancy OR recruitment) || indexed: "WH Group" "Runway" "AI" (job OR hiring OR career OR vacancy) || linkedin: site:linkedin.com/jobs/view "WH Group" "Runway" || ATS: "WH Group" ("Higgsfield" OR "Runway" OR "Firefly") (site:myworkdayjobs.com OR site:successfactors.com OR site:jobs2web.com OR site:icims.com OR site:avature.net OR site:oraclecloud.com OR site:smartrecruiters.com) || local: ("万洲国际" OR "双汇") (招聘 OR 设计) "Runway" || exact_broad: "WH Group" "Runway" -site:linkedin.com/in -site:linkedin.com/pub</x:v>
      </x:c>
      <x:c r="F132" s="9" t="str">
        <x:v>Corporate domain wh-group.com; indexed public job boards; LinkedIn jobs; common ATS domains (myworkdayjobs.com, successfactors.com, jobs2web.com, icims.com, avature.net, oraclecloud.com, smartrecruiters.com)</x:v>
      </x:c>
      <x:c r="G132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32" s="9" t="str">
        <x:v>Corporate-domain, unrestricted job, LinkedIn-specific, common ATS index and exact broad queries; local-language where recorded</x:v>
      </x:c>
      <x:c r="I132" s="2" t="str">
        <x:v>2026-10-06</x:v>
      </x:c>
    </x:row>
    <x:row r="133" ht="145" customHeight="1">
      <x:c r="A133" s="2" t="str">
        <x:v>C44</x:v>
      </x:c>
      <x:c r="B133" s="9" t="str">
        <x:v>WH Group</x:v>
      </x:c>
      <x:c r="C133" s="9" t="str">
        <x:v>Firefly</x:v>
      </x:c>
      <x:c r="D133" s="9" t="str">
        <x:v>Проверенных упоминаний в основном корпусе не найдено</x:v>
      </x:c>
      <x:c r="E133" s="9" t="str">
        <x:v>primary: site:wh-group.com "Firefly" (job OR career OR vacancy OR recruitment) || indexed: "WH Group" "Firefly" (job OR hiring OR career OR vacancy) || linkedin: site:linkedin.com/jobs/view "WH Group" "Firefly" || ATS: "WH Group" ("Higgsfield" OR "Runway" OR "Firefly") (site:myworkdayjobs.com OR site:successfactors.com OR site:jobs2web.com OR site:icims.com OR site:avature.net OR site:oraclecloud.com OR site:smartrecruiters.com) || local: ("万洲国际" OR "双汇") (招聘 OR 设计) "Firefly" || exact_broad: "WH Group" "Firefly" -site:linkedin.com/in -site:linkedin.com/pub</x:v>
      </x:c>
      <x:c r="F133" s="9" t="str">
        <x:v>Corporate domain wh-group.com; indexed public job boards; LinkedIn jobs; common ATS domains (myworkdayjobs.com, successfactors.com, jobs2web.com, icims.com, avature.net, oraclecloud.com, smartrecruiters.com)</x:v>
      </x:c>
      <x:c r="G133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33" s="9" t="str">
        <x:v>Corporate-domain, unrestricted job, LinkedIn-specific, common ATS index and exact broad queries; local-language where recorded</x:v>
      </x:c>
      <x:c r="I133" s="2" t="str">
        <x:v>2026-10-06</x:v>
      </x:c>
    </x:row>
    <x:row r="134" ht="145" customHeight="1">
      <x:c r="A134" s="2" t="str">
        <x:v>C45</x:v>
      </x:c>
      <x:c r="B134" s="9" t="str">
        <x:v>The Campbell’s Company</x:v>
      </x:c>
      <x:c r="C134" s="9" t="str">
        <x:v>Higgsfield</x:v>
      </x:c>
      <x:c r="D134" s="9" t="str">
        <x:v>Проверенных упоминаний в основном корпусе не найдено</x:v>
      </x:c>
      <x:c r="E134" s="9" t="str">
        <x:v>primary: site:thecampbellscompany.com "Higgsfield" (job OR career OR vacancy OR recruitment) || indexed: "Campbell" "Higgsfield" (job OR hiring OR career OR vacancy) || linkedin: site:linkedin.com/jobs/view "Campbell" "Higgsfield" || ATS: "Campbell" ("Higgsfield" OR "Runway" OR "Firefly") (site:myworkdayjobs.com OR site:successfactors.com OR site:jobs2web.com OR site:icims.com OR site:avature.net OR site:oraclecloud.com OR site:smartrecruiters.com) || exact_broad: "Campbell's Company" "Higgsfield" -site:linkedin.com/in -site:linkedin.com/pub</x:v>
      </x:c>
      <x:c r="F134" s="9" t="str">
        <x:v>Corporate domain thecampbellscompany.com; indexed public job boards; LinkedIn jobs; common ATS domains (myworkdayjobs.com, successfactors.com, jobs2web.com, icims.com, avature.net, oraclecloud.com, smartrecruiters.com)</x:v>
      </x:c>
      <x:c r="G134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34" s="9" t="str">
        <x:v>Corporate-domain, unrestricted job, LinkedIn-specific, common ATS index and exact broad queries; local-language where recorded</x:v>
      </x:c>
      <x:c r="I134" s="2" t="str">
        <x:v>2026-10-06</x:v>
      </x:c>
    </x:row>
    <x:row r="135" ht="145" customHeight="1">
      <x:c r="A135" s="2" t="str">
        <x:v>C45</x:v>
      </x:c>
      <x:c r="B135" s="9" t="str">
        <x:v>The Campbell’s Company</x:v>
      </x:c>
      <x:c r="C135" s="9" t="str">
        <x:v>Runway</x:v>
      </x:c>
      <x:c r="D135" s="9" t="str">
        <x:v>Проверенных упоминаний в основном корпусе не найдено</x:v>
      </x:c>
      <x:c r="E135" s="9" t="str">
        <x:v>primary: site:thecampbellscompany.com "Runway" (job OR career OR vacancy OR recruitment) || indexed: "Campbell" "Runway" "AI" (job OR hiring OR career OR vacancy) || linkedin: site:linkedin.com/jobs/view "Campbell" "Runway" || ATS: "Campbell" ("Higgsfield" OR "Runway" OR "Firefly") (site:myworkdayjobs.com OR site:successfactors.com OR site:jobs2web.com OR site:icims.com OR site:avature.net OR site:oraclecloud.com OR site:smartrecruiters.com) || exact_broad: "Campbell's Company" "Runway" -site:linkedin.com/in -site:linkedin.com/pub</x:v>
      </x:c>
      <x:c r="F135" s="9" t="str">
        <x:v>Corporate domain thecampbellscompany.com; indexed public job boards; LinkedIn jobs; common ATS domains (myworkdayjobs.com, successfactors.com, jobs2web.com, icims.com, avature.net, oraclecloud.com, smartrecruiters.com)</x:v>
      </x:c>
      <x:c r="G135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35" s="9" t="str">
        <x:v>Corporate-domain, unrestricted job, LinkedIn-specific, common ATS index and exact broad queries; local-language where recorded</x:v>
      </x:c>
      <x:c r="I135" s="2" t="str">
        <x:v>2026-10-06</x:v>
      </x:c>
    </x:row>
    <x:row r="136" ht="145" customHeight="1">
      <x:c r="A136" s="2" t="str">
        <x:v>C45</x:v>
      </x:c>
      <x:c r="B136" s="9" t="str">
        <x:v>The Campbell’s Company</x:v>
      </x:c>
      <x:c r="C136" s="9" t="str">
        <x:v>Firefly</x:v>
      </x:c>
      <x:c r="D136" s="9" t="str">
        <x:v>Проверенных упоминаний в основном корпусе не найдено</x:v>
      </x:c>
      <x:c r="E136" s="9" t="str">
        <x:v>primary: site:thecampbellscompany.com "Firefly" (job OR career OR vacancy OR recruitment) || indexed: "Campbell" "Firefly" (job OR hiring OR career OR vacancy) || linkedin: site:linkedin.com/jobs/view "Campbell" "Firefly" || ATS: "Campbell" ("Higgsfield" OR "Runway" OR "Firefly") (site:myworkdayjobs.com OR site:successfactors.com OR site:jobs2web.com OR site:icims.com OR site:avature.net OR site:oraclecloud.com OR site:smartrecruiters.com) || exact_broad: "Campbell's Company" "Firefly" -site:linkedin.com/in -site:linkedin.com/pub</x:v>
      </x:c>
      <x:c r="F136" s="9" t="str">
        <x:v>Corporate domain thecampbellscompany.com; indexed public job boards; LinkedIn jobs; common ATS domains (myworkdayjobs.com, successfactors.com, jobs2web.com, icims.com, avature.net, oraclecloud.com, smartrecruiters.com)</x:v>
      </x:c>
      <x:c r="G136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36" s="9" t="str">
        <x:v>Corporate-domain, unrestricted job, LinkedIn-specific, common ATS index and exact broad queries; local-language where recorded</x:v>
      </x:c>
      <x:c r="I136" s="2" t="str">
        <x:v>2026-10-06</x:v>
      </x:c>
    </x:row>
    <x:row r="137" ht="145" customHeight="1">
      <x:c r="A137" s="2" t="str">
        <x:v>C46</x:v>
      </x:c>
      <x:c r="B137" s="9" t="str">
        <x:v>Hershey</x:v>
      </x:c>
      <x:c r="C137" s="9" t="str">
        <x:v>Higgsfield</x:v>
      </x:c>
      <x:c r="D137" s="9" t="str">
        <x:v>Проверенных упоминаний в основном корпусе не найдено</x:v>
      </x:c>
      <x:c r="E137" s="9" t="str">
        <x:v>primary: site:thehersheycompany.com "Higgsfield" (job OR career OR vacancy OR recruitment) || indexed: "Hershey" "Higgsfield" (job OR hiring OR career OR vacancy) || linkedin: site:linkedin.com/jobs/view "Hershey" "Higgsfield" || ATS: "Hershey" ("Higgsfield" OR "Runway" OR "Firefly") (site:myworkdayjobs.com OR site:successfactors.com OR site:jobs2web.com OR site:icims.com OR site:avature.net OR site:oraclecloud.com OR site:smartrecruiters.com) || exact_broad: "Hershey" "Higgsfield" -site:linkedin.com/in -site:linkedin.com/pub</x:v>
      </x:c>
      <x:c r="F137" s="9" t="str">
        <x:v>Corporate domain thehersheycompany.com; indexed public job boards; LinkedIn jobs; common ATS domains (myworkdayjobs.com, successfactors.com, jobs2web.com, icims.com, avature.net, oraclecloud.com, smartrecruiters.com)</x:v>
      </x:c>
      <x:c r="G137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37" s="9" t="str">
        <x:v>Corporate-domain, unrestricted job, LinkedIn-specific, common ATS index and exact broad queries; local-language where recorded</x:v>
      </x:c>
      <x:c r="I137" s="2" t="str">
        <x:v>2026-10-06</x:v>
      </x:c>
    </x:row>
    <x:row r="138" ht="145" customHeight="1">
      <x:c r="A138" s="2" t="str">
        <x:v>C46</x:v>
      </x:c>
      <x:c r="B138" s="9" t="str">
        <x:v>Hershey</x:v>
      </x:c>
      <x:c r="C138" s="9" t="str">
        <x:v>Runway</x:v>
      </x:c>
      <x:c r="D138" s="9" t="str">
        <x:v>Проверенных упоминаний в основном корпусе не найдено</x:v>
      </x:c>
      <x:c r="E138" s="9" t="str">
        <x:v>primary: site:thehersheycompany.com "Runway" (job OR career OR vacancy OR recruitment) || indexed: "Hershey" "Runway" "AI" (job OR hiring OR career OR vacancy) || linkedin: site:linkedin.com/jobs/view "Hershey" "Runway" || ATS: "Hershey" ("Higgsfield" OR "Runway" OR "Firefly") (site:myworkdayjobs.com OR site:successfactors.com OR site:jobs2web.com OR site:icims.com OR site:avature.net OR site:oraclecloud.com OR site:smartrecruiters.com) || exact_broad: "Hershey" "Runway" -site:linkedin.com/in -site:linkedin.com/pub</x:v>
      </x:c>
      <x:c r="F138" s="9" t="str">
        <x:v>Corporate domain thehersheycompany.com; indexed public job boards; LinkedIn jobs; common ATS domains (myworkdayjobs.com, successfactors.com, jobs2web.com, icims.com, avature.net, oraclecloud.com, smartrecruiters.com)</x:v>
      </x:c>
      <x:c r="G138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38" s="9" t="str">
        <x:v>Corporate-domain, unrestricted job, LinkedIn-specific, common ATS index and exact broad queries; local-language where recorded</x:v>
      </x:c>
      <x:c r="I138" s="2" t="str">
        <x:v>2026-10-06</x:v>
      </x:c>
    </x:row>
    <x:row r="139" ht="145" customHeight="1">
      <x:c r="A139" s="2" t="str">
        <x:v>C46</x:v>
      </x:c>
      <x:c r="B139" s="9" t="str">
        <x:v>Hershey</x:v>
      </x:c>
      <x:c r="C139" s="9" t="str">
        <x:v>Firefly</x:v>
      </x:c>
      <x:c r="D139" s="9" t="str">
        <x:v>Проверенных упоминаний в основном корпусе не найдено</x:v>
      </x:c>
      <x:c r="E139" s="9" t="str">
        <x:v>primary: site:thehersheycompany.com "Firefly" (job OR career OR vacancy OR recruitment) || indexed: "Hershey" "Firefly" (job OR hiring OR career OR vacancy) || linkedin: site:linkedin.com/jobs/view "Hershey" "Firefly" || ATS: "Hershey" ("Higgsfield" OR "Runway" OR "Firefly") (site:myworkdayjobs.com OR site:successfactors.com OR site:jobs2web.com OR site:icims.com OR site:avature.net OR site:oraclecloud.com OR site:smartrecruiters.com) || exact_broad: "Hershey" "Firefly" -site:linkedin.com/in -site:linkedin.com/pub</x:v>
      </x:c>
      <x:c r="F139" s="9" t="str">
        <x:v>Corporate domain thehersheycompany.com; indexed public job boards; LinkedIn jobs; common ATS domains (myworkdayjobs.com, successfactors.com, jobs2web.com, icims.com, avature.net, oraclecloud.com, smartrecruiters.com)</x:v>
      </x:c>
      <x:c r="G139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39" s="9" t="str">
        <x:v>Corporate-domain, unrestricted job, LinkedIn-specific, common ATS index and exact broad queries; local-language where recorded</x:v>
      </x:c>
      <x:c r="I139" s="2" t="str">
        <x:v>2026-10-06</x:v>
      </x:c>
    </x:row>
    <x:row r="140" ht="145" customHeight="1">
      <x:c r="A140" s="2" t="str">
        <x:v>C47</x:v>
      </x:c>
      <x:c r="B140" s="9" t="str">
        <x:v>J.M. Smucker</x:v>
      </x:c>
      <x:c r="C140" s="9" t="str">
        <x:v>Higgsfield</x:v>
      </x:c>
      <x:c r="D140" s="9" t="str">
        <x:v>Проверенных упоминаний в основном корпусе не найдено</x:v>
      </x:c>
      <x:c r="E140" s="9" t="str">
        <x:v>primary: site:jmsmucker.com "Higgsfield" (job OR career OR vacancy OR recruitment) || indexed: "Smucker" "Higgsfield" (job OR hiring OR career OR vacancy) || linkedin: site:linkedin.com/jobs/view "Smucker" "Higgsfield" || ATS: "Smucker" ("Higgsfield" OR "Runway" OR "Firefly") (site:myworkdayjobs.com OR site:successfactors.com OR site:jobs2web.com OR site:icims.com OR site:avature.net OR site:oraclecloud.com OR site:smartrecruiters.com) || exact_broad: "Smucker" "Higgsfield" -site:linkedin.com/in -site:linkedin.com/pub</x:v>
      </x:c>
      <x:c r="F140" s="9" t="str">
        <x:v>Corporate domain jmsmucker.com; indexed public job boards; LinkedIn jobs; common ATS domains (myworkdayjobs.com, successfactors.com, jobs2web.com, icims.com, avature.net, oraclecloud.com, smartrecruiters.com)</x:v>
      </x:c>
      <x:c r="G140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40" s="9" t="str">
        <x:v>Corporate-domain, unrestricted job, LinkedIn-specific, common ATS index and exact broad queries; local-language where recorded</x:v>
      </x:c>
      <x:c r="I140" s="2" t="str">
        <x:v>2026-10-06</x:v>
      </x:c>
    </x:row>
    <x:row r="141" ht="145" customHeight="1">
      <x:c r="A141" s="2" t="str">
        <x:v>C47</x:v>
      </x:c>
      <x:c r="B141" s="9" t="str">
        <x:v>J.M. Smucker</x:v>
      </x:c>
      <x:c r="C141" s="9" t="str">
        <x:v>Runway</x:v>
      </x:c>
      <x:c r="D141" s="9" t="str">
        <x:v>Проверенных упоминаний в основном корпусе не найдено</x:v>
      </x:c>
      <x:c r="E141" s="9" t="str">
        <x:v>primary: site:jmsmucker.com "Runway" (job OR career OR vacancy OR recruitment) || indexed: "Smucker" "Runway" "AI" (job OR hiring OR career OR vacancy) || linkedin: site:linkedin.com/jobs/view "Smucker" "Runway" || ATS: "Smucker" ("Higgsfield" OR "Runway" OR "Firefly") (site:myworkdayjobs.com OR site:successfactors.com OR site:jobs2web.com OR site:icims.com OR site:avature.net OR site:oraclecloud.com OR site:smartrecruiters.com) || exact_broad: "Smucker" "Runway" -site:linkedin.com/in -site:linkedin.com/pub</x:v>
      </x:c>
      <x:c r="F141" s="9" t="str">
        <x:v>Corporate domain jmsmucker.com; indexed public job boards; LinkedIn jobs; common ATS domains (myworkdayjobs.com, successfactors.com, jobs2web.com, icims.com, avature.net, oraclecloud.com, smartrecruiters.com)</x:v>
      </x:c>
      <x:c r="G141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41" s="9" t="str">
        <x:v>Corporate-domain, unrestricted job, LinkedIn-specific, common ATS index and exact broad queries; local-language where recorded</x:v>
      </x:c>
      <x:c r="I141" s="2" t="str">
        <x:v>2026-10-06</x:v>
      </x:c>
    </x:row>
    <x:row r="142" ht="145" customHeight="1">
      <x:c r="A142" s="2" t="str">
        <x:v>C47</x:v>
      </x:c>
      <x:c r="B142" s="9" t="str">
        <x:v>J.M. Smucker</x:v>
      </x:c>
      <x:c r="C142" s="9" t="str">
        <x:v>Firefly</x:v>
      </x:c>
      <x:c r="D142" s="9" t="str">
        <x:v>Проверенных упоминаний в основном корпусе не найдено</x:v>
      </x:c>
      <x:c r="E142" s="9" t="str">
        <x:v>primary: site:jmsmucker.com "Firefly" (job OR career OR vacancy OR recruitment) || indexed: "Smucker" "Firefly" (job OR hiring OR career OR vacancy) || linkedin: site:linkedin.com/jobs/view "Smucker" "Firefly" || ATS: "Smucker" ("Higgsfield" OR "Runway" OR "Firefly") (site:myworkdayjobs.com OR site:successfactors.com OR site:jobs2web.com OR site:icims.com OR site:avature.net OR site:oraclecloud.com OR site:smartrecruiters.com) || exact_broad: "Smucker" "Firefly" -site:linkedin.com/in -site:linkedin.com/pub</x:v>
      </x:c>
      <x:c r="F142" s="9" t="str">
        <x:v>Corporate domain jmsmucker.com; indexed public job boards; LinkedIn jobs; common ATS domains (myworkdayjobs.com, successfactors.com, jobs2web.com, icims.com, avature.net, oraclecloud.com, smartrecruiters.com)</x:v>
      </x:c>
      <x:c r="G142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42" s="9" t="str">
        <x:v>Corporate-domain, unrestricted job, LinkedIn-specific, common ATS index and exact broad queries; local-language where recorded</x:v>
      </x:c>
      <x:c r="I142" s="2" t="str">
        <x:v>2026-10-06</x:v>
      </x:c>
    </x:row>
    <x:row r="143" ht="145" customHeight="1">
      <x:c r="A143" s="2" t="str">
        <x:v>C48</x:v>
      </x:c>
      <x:c r="B143" s="9" t="str">
        <x:v>Conagra Brands</x:v>
      </x:c>
      <x:c r="C143" s="9" t="str">
        <x:v>Higgsfield</x:v>
      </x:c>
      <x:c r="D143" s="9" t="str">
        <x:v>Проверенных упоминаний в основном корпусе не найдено</x:v>
      </x:c>
      <x:c r="E143" s="9" t="str">
        <x:v>primary: site:conagrabrands.com "Higgsfield" (job OR career OR vacancy OR recruitment) || indexed: "Conagra Brands" "Higgsfield" (job OR hiring OR career OR vacancy) || linkedin: site:linkedin.com/jobs/view "Conagra Brands" "Higgsfield" || ATS: "Conagra Brands" ("Higgsfield" OR "Runway" OR "Firefly") (site:myworkdayjobs.com OR site:successfactors.com OR site:jobs2web.com OR site:icims.com OR site:avature.net OR site:oraclecloud.com OR site:smartrecruiters.com) || exact_broad: "Conagra Brands" "Higgsfield" -site:linkedin.com/in -site:linkedin.com/pub</x:v>
      </x:c>
      <x:c r="F143" s="9" t="str">
        <x:v>Corporate domain conagrabrands.com; indexed public job boards; LinkedIn jobs; common ATS domains (myworkdayjobs.com, successfactors.com, jobs2web.com, icims.com, avature.net, oraclecloud.com, smartrecruiters.com)</x:v>
      </x:c>
      <x:c r="G143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43" s="9" t="str">
        <x:v>Corporate-domain, unrestricted job, LinkedIn-specific, common ATS index and exact broad queries; local-language where recorded</x:v>
      </x:c>
      <x:c r="I143" s="2" t="str">
        <x:v>2026-10-06</x:v>
      </x:c>
    </x:row>
    <x:row r="144" ht="145" customHeight="1">
      <x:c r="A144" s="2" t="str">
        <x:v>C48</x:v>
      </x:c>
      <x:c r="B144" s="9" t="str">
        <x:v>Conagra Brands</x:v>
      </x:c>
      <x:c r="C144" s="9" t="str">
        <x:v>Runway</x:v>
      </x:c>
      <x:c r="D144" s="9" t="str">
        <x:v>Проверенных упоминаний в основном корпусе не найдено</x:v>
      </x:c>
      <x:c r="E144" s="9" t="str">
        <x:v>primary: site:conagrabrands.com "Runway" (job OR career OR vacancy OR recruitment) || indexed: "Conagra Brands" "Runway" "AI" (job OR hiring OR career OR vacancy) || linkedin: site:linkedin.com/jobs/view "Conagra Brands" "Runway" || ATS: "Conagra Brands" ("Higgsfield" OR "Runway" OR "Firefly") (site:myworkdayjobs.com OR site:successfactors.com OR site:jobs2web.com OR site:icims.com OR site:avature.net OR site:oraclecloud.com OR site:smartrecruiters.com) || exact_broad: "Conagra Brands" "Runway" -site:linkedin.com/in -site:linkedin.com/pub</x:v>
      </x:c>
      <x:c r="F144" s="9" t="str">
        <x:v>Corporate domain conagrabrands.com; indexed public job boards; LinkedIn jobs; common ATS domains (myworkdayjobs.com, successfactors.com, jobs2web.com, icims.com, avature.net, oraclecloud.com, smartrecruiters.com)</x:v>
      </x:c>
      <x:c r="G144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44" s="9" t="str">
        <x:v>Corporate-domain, unrestricted job, LinkedIn-specific, common ATS index and exact broad queries; local-language where recorded</x:v>
      </x:c>
      <x:c r="I144" s="2" t="str">
        <x:v>2026-10-06</x:v>
      </x:c>
    </x:row>
    <x:row r="145" ht="145" customHeight="1">
      <x:c r="A145" s="2" t="str">
        <x:v>C48</x:v>
      </x:c>
      <x:c r="B145" s="9" t="str">
        <x:v>Conagra Brands</x:v>
      </x:c>
      <x:c r="C145" s="9" t="str">
        <x:v>Firefly</x:v>
      </x:c>
      <x:c r="D145" s="9" t="str">
        <x:v>1 вакансий в основном корпусе</x:v>
      </x:c>
      <x:c r="E145" s="9" t="str">
        <x:v>primary: site:conagrabrands.com "Firefly" (job OR career OR vacancy OR recruitment) || indexed: "Conagra Brands" "Firefly" (job OR hiring OR career OR vacancy) || linkedin: site:linkedin.com/jobs/view "Conagra Brands" "Firefly" || ATS: "Conagra Brands" ("Higgsfield" OR "Runway" OR "Firefly") (site:myworkdayjobs.com OR site:successfactors.com OR site:jobs2web.com OR site:icims.com OR site:avature.net OR site:oraclecloud.com OR site:smartrecruiters.com) || exact_broad: "Conagra Brands" "Firefly" -site:linkedin.com/in -site:linkedin.com/pub</x:v>
      </x:c>
      <x:c r="F145" s="9" t="str">
        <x:v>Corporate domain conagrabrands.com; indexed public job boards; LinkedIn jobs; common ATS domains (myworkdayjobs.com, successfactors.com, jobs2web.com, icims.com, avature.net, oraclecloud.com, smartrecruiters.com)</x:v>
      </x:c>
      <x:c r="G145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45" s="9" t="str">
        <x:v>Corporate-domain, unrestricted job, LinkedIn-specific, common ATS index and exact broad queries; local-language where recorded</x:v>
      </x:c>
      <x:c r="I145" s="2" t="str">
        <x:v>2026-10-06</x:v>
      </x:c>
    </x:row>
    <x:row r="146" ht="145" customHeight="1">
      <x:c r="A146" s="2" t="str">
        <x:v>C49</x:v>
      </x:c>
      <x:c r="B146" s="9" t="str">
        <x:v>McCormick</x:v>
      </x:c>
      <x:c r="C146" s="9" t="str">
        <x:v>Higgsfield</x:v>
      </x:c>
      <x:c r="D146" s="9" t="str">
        <x:v>Проверенных упоминаний в основном корпусе не найдено</x:v>
      </x:c>
      <x:c r="E146" s="9" t="str">
        <x:v>primary: site:mccormick.com "Higgsfield" (job OR career OR vacancy OR recruitment) || indexed: "McCormick" "Higgsfield" (job OR hiring OR career OR vacancy) || linkedin: site:linkedin.com/jobs/view "McCormick" "Higgsfield" || ATS: "McCormick" ("Higgsfield" OR "Runway" OR "Firefly") (site:myworkdayjobs.com OR site:successfactors.com OR site:jobs2web.com OR site:icims.com OR site:avature.net OR site:oraclecloud.com OR site:smartrecruiters.com) || exact_broad: "McCormick" "Higgsfield" -site:linkedin.com/in -site:linkedin.com/pub</x:v>
      </x:c>
      <x:c r="F146" s="9" t="str">
        <x:v>Corporate domain mccormick.com; indexed public job boards; LinkedIn jobs; common ATS domains (myworkdayjobs.com, successfactors.com, jobs2web.com, icims.com, avature.net, oraclecloud.com, smartrecruiters.com)</x:v>
      </x:c>
      <x:c r="G146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46" s="9" t="str">
        <x:v>Corporate-domain, unrestricted job, LinkedIn-specific, common ATS index and exact broad queries; local-language where recorded</x:v>
      </x:c>
      <x:c r="I146" s="2" t="str">
        <x:v>2026-10-06</x:v>
      </x:c>
    </x:row>
    <x:row r="147" ht="145" customHeight="1">
      <x:c r="A147" s="2" t="str">
        <x:v>C49</x:v>
      </x:c>
      <x:c r="B147" s="9" t="str">
        <x:v>McCormick</x:v>
      </x:c>
      <x:c r="C147" s="9" t="str">
        <x:v>Runway</x:v>
      </x:c>
      <x:c r="D147" s="9" t="str">
        <x:v>Проверенных упоминаний в основном корпусе не найдено</x:v>
      </x:c>
      <x:c r="E147" s="9" t="str">
        <x:v>primary: site:mccormick.com "Runway" (job OR career OR vacancy OR recruitment) || indexed: "McCormick" "Runway" "AI" (job OR hiring OR career OR vacancy) || linkedin: site:linkedin.com/jobs/view "McCormick" "Runway" || ATS: "McCormick" ("Higgsfield" OR "Runway" OR "Firefly") (site:myworkdayjobs.com OR site:successfactors.com OR site:jobs2web.com OR site:icims.com OR site:avature.net OR site:oraclecloud.com OR site:smartrecruiters.com) || exact_broad: "McCormick" "Runway" -site:linkedin.com/in -site:linkedin.com/pub</x:v>
      </x:c>
      <x:c r="F147" s="9" t="str">
        <x:v>Corporate domain mccormick.com; indexed public job boards; LinkedIn jobs; common ATS domains (myworkdayjobs.com, successfactors.com, jobs2web.com, icims.com, avature.net, oraclecloud.com, smartrecruiters.com)</x:v>
      </x:c>
      <x:c r="G147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47" s="9" t="str">
        <x:v>Corporate-domain, unrestricted job, LinkedIn-specific, common ATS index and exact broad queries; local-language where recorded</x:v>
      </x:c>
      <x:c r="I147" s="2" t="str">
        <x:v>2026-10-06</x:v>
      </x:c>
    </x:row>
    <x:row r="148" ht="145" customHeight="1">
      <x:c r="A148" s="2" t="str">
        <x:v>C49</x:v>
      </x:c>
      <x:c r="B148" s="9" t="str">
        <x:v>McCormick</x:v>
      </x:c>
      <x:c r="C148" s="9" t="str">
        <x:v>Firefly</x:v>
      </x:c>
      <x:c r="D148" s="9" t="str">
        <x:v>Проверенных упоминаний в основном корпусе не найдено</x:v>
      </x:c>
      <x:c r="E148" s="9" t="str">
        <x:v>primary: site:mccormick.com "Firefly" (job OR career OR vacancy OR recruitment) || indexed: "McCormick" "Firefly" (job OR hiring OR career OR vacancy) || linkedin: site:linkedin.com/jobs/view "McCormick" "Firefly" || ATS: "McCormick" ("Higgsfield" OR "Runway" OR "Firefly") (site:myworkdayjobs.com OR site:successfactors.com OR site:jobs2web.com OR site:icims.com OR site:avature.net OR site:oraclecloud.com OR site:smartrecruiters.com) || exact_broad: "McCormick" "Firefly" -site:linkedin.com/in -site:linkedin.com/pub</x:v>
      </x:c>
      <x:c r="F148" s="9" t="str">
        <x:v>Corporate domain mccormick.com; indexed public job boards; LinkedIn jobs; common ATS domains (myworkdayjobs.com, successfactors.com, jobs2web.com, icims.com, avature.net, oraclecloud.com, smartrecruiters.com)</x:v>
      </x:c>
      <x:c r="G148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48" s="9" t="str">
        <x:v>Corporate-domain, unrestricted job, LinkedIn-specific, common ATS index and exact broad queries; local-language where recorded</x:v>
      </x:c>
      <x:c r="I148" s="2" t="str">
        <x:v>2026-10-06</x:v>
      </x:c>
    </x:row>
    <x:row r="149" ht="145" customHeight="1">
      <x:c r="A149" s="2" t="str">
        <x:v>C50</x:v>
      </x:c>
      <x:c r="B149" s="9" t="str">
        <x:v>Grupo Bimbo</x:v>
      </x:c>
      <x:c r="C149" s="9" t="str">
        <x:v>Higgsfield</x:v>
      </x:c>
      <x:c r="D149" s="9" t="str">
        <x:v>Проверенных упоминаний в основном корпусе не найдено</x:v>
      </x:c>
      <x:c r="E149" s="9" t="str">
        <x:v>primary: site:grupobimbo.com "Higgsfield" (job OR career OR vacancy OR recruitment) || indexed: "Grupo Bimbo" "Higgsfield" (job OR hiring OR career OR vacancy) || linkedin: site:linkedin.com/jobs/view "Grupo Bimbo" "Higgsfield" || ATS: "Grupo Bimbo" ("Higgsfield" OR "Runway" OR "Firefly") (site:myworkdayjobs.com OR site:successfactors.com OR site:jobs2web.com OR site:icims.com OR site:avature.net OR site:oraclecloud.com OR site:smartrecruiters.com) || local: "Bimbo" (vacante OR empleo OR diseñador OR creativo) "Higgsfield" || exact_broad: "Grupo Bimbo" "Higgsfield" -site:linkedin.com/in -site:linkedin.com/pub</x:v>
      </x:c>
      <x:c r="F149" s="9" t="str">
        <x:v>Corporate domain grupobimbo.com; indexed public job boards; LinkedIn jobs; common ATS domains (myworkdayjobs.com, successfactors.com, jobs2web.com, icims.com, avature.net, oraclecloud.com, smartrecruiters.com)</x:v>
      </x:c>
      <x:c r="G149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49" s="9" t="str">
        <x:v>Corporate-domain, unrestricted job, LinkedIn-specific, common ATS index and exact broad queries; local-language where recorded</x:v>
      </x:c>
      <x:c r="I149" s="2" t="str">
        <x:v>2026-10-06</x:v>
      </x:c>
    </x:row>
    <x:row r="150" ht="145" customHeight="1">
      <x:c r="A150" s="2" t="str">
        <x:v>C50</x:v>
      </x:c>
      <x:c r="B150" s="9" t="str">
        <x:v>Grupo Bimbo</x:v>
      </x:c>
      <x:c r="C150" s="9" t="str">
        <x:v>Runway</x:v>
      </x:c>
      <x:c r="D150" s="9" t="str">
        <x:v>Проверенных упоминаний в основном корпусе не найдено</x:v>
      </x:c>
      <x:c r="E150" s="9" t="str">
        <x:v>primary: site:grupobimbo.com "Runway" (job OR career OR vacancy OR recruitment) || indexed: "Grupo Bimbo" "Runway" "AI" (job OR hiring OR career OR vacancy) || linkedin: site:linkedin.com/jobs/view "Grupo Bimbo" "Runway" || ATS: "Grupo Bimbo" ("Higgsfield" OR "Runway" OR "Firefly") (site:myworkdayjobs.com OR site:successfactors.com OR site:jobs2web.com OR site:icims.com OR site:avature.net OR site:oraclecloud.com OR site:smartrecruiters.com) || local: "Bimbo" (vacante OR empleo OR diseñador OR creativo) "Runway" || exact_broad: "Grupo Bimbo" "Runway" -site:linkedin.com/in -site:linkedin.com/pub</x:v>
      </x:c>
      <x:c r="F150" s="9" t="str">
        <x:v>Corporate domain grupobimbo.com; indexed public job boards; LinkedIn jobs; common ATS domains (myworkdayjobs.com, successfactors.com, jobs2web.com, icims.com, avature.net, oraclecloud.com, smartrecruiters.com)</x:v>
      </x:c>
      <x:c r="G150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50" s="9" t="str">
        <x:v>Corporate-domain, unrestricted job, LinkedIn-specific, common ATS index and exact broad queries; local-language where recorded</x:v>
      </x:c>
      <x:c r="I150" s="2" t="str">
        <x:v>2026-10-06</x:v>
      </x:c>
    </x:row>
    <x:row r="151" ht="145" customHeight="1">
      <x:c r="A151" s="2" t="str">
        <x:v>C50</x:v>
      </x:c>
      <x:c r="B151" s="9" t="str">
        <x:v>Grupo Bimbo</x:v>
      </x:c>
      <x:c r="C151" s="9" t="str">
        <x:v>Firefly</x:v>
      </x:c>
      <x:c r="D151" s="9" t="str">
        <x:v>Проверенных упоминаний в основном корпусе не найдено</x:v>
      </x:c>
      <x:c r="E151" s="9" t="str">
        <x:v>primary: site:grupobimbo.com "Firefly" (job OR career OR vacancy OR recruitment) || indexed: "Grupo Bimbo" "Firefly" (job OR hiring OR career OR vacancy) || linkedin: site:linkedin.com/jobs/view "Grupo Bimbo" "Firefly" || ATS: "Grupo Bimbo" ("Higgsfield" OR "Runway" OR "Firefly") (site:myworkdayjobs.com OR site:successfactors.com OR site:jobs2web.com OR site:icims.com OR site:avature.net OR site:oraclecloud.com OR site:smartrecruiters.com) || local: "Bimbo" (vacante OR empleo OR diseñador OR creativo) "Firefly" || exact_broad: "Grupo Bimbo" "Firefly" -site:linkedin.com/in -site:linkedin.com/pub</x:v>
      </x:c>
      <x:c r="F151" s="9" t="str">
        <x:v>Corporate domain grupobimbo.com; indexed public job boards; LinkedIn jobs; common ATS domains (myworkdayjobs.com, successfactors.com, jobs2web.com, icims.com, avature.net, oraclecloud.com, smartrecruiters.com)</x:v>
      </x:c>
      <x:c r="G151" s="9" t="str">
        <x:v>Publicly indexed search only, not exhaustive crawl. Closed/deleted/blocked/unindexed or local-only postings may be absent. No hit does not mean zero actual tool usage. Profile/CV/client list/multi-employer result pages and unrelated Runway/Firefly excluded.</x:v>
      </x:c>
      <x:c r="H151" s="9" t="str">
        <x:v>Corporate-domain, unrestricted job, LinkedIn-specific, common ATS index and exact broad queries; local-language where recorded</x:v>
      </x:c>
      <x:c r="I151" s="2" t="str">
        <x:v>2026-10-06</x:v>
      </x:c>
    </x:row>
    <x:row r="152" ht="145" customHeight="1">
      <x:c r="A152" s="2" t="str">
        <x:v>A01</x:v>
      </x:c>
      <x:c r="B152" s="9" t="str">
        <x:v>Ogilvy</x:v>
      </x:c>
      <x:c r="C152" s="9" t="str">
        <x:v>Higgsfield</x:v>
      </x:c>
      <x:c r="D152" s="9" t="str">
        <x:v>Проверенных упоминаний в основном корпусе не найдено</x:v>
      </x:c>
      <x:c r="E152" s="9" t="str">
        <x:v>"Ogilvy" "Higgsfield" job || "Ogilvy" "Higgsfield" site:greenhouse.io || "Ogilvy" "Higgsfield" site:linkedin.com/jobs/view || "Ogilvy" "Хиггсфилд" вакансии</x:v>
      </x:c>
      <x:c r="F152" s="9" t="str">
        <x:v>ogilvy.com (index only); job-boards.greenhouse.io/david/jobs/4682245005; hk.linkedin.com/jobs/view/3982616441; builtin.com/job/6696293; lb.trabajo.org/offre-4069-5b8309856e5fe8d69223b07f76287695</x:v>
      </x:c>
      <x:c r="G152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52" s="9" t="str">
        <x:v>broad indexed web + primary-domain/ATS index + public LinkedIn/board index; direct full-text verification of candidates</x:v>
      </x:c>
      <x:c r="I152" s="2" t="str">
        <x:v>2026-10-06</x:v>
      </x:c>
    </x:row>
    <x:row r="153" ht="145" customHeight="1">
      <x:c r="A153" s="2" t="str">
        <x:v>A01</x:v>
      </x:c>
      <x:c r="B153" s="9" t="str">
        <x:v>Ogilvy</x:v>
      </x:c>
      <x:c r="C153" s="9" t="str">
        <x:v>Runway</x:v>
      </x:c>
      <x:c r="D153" s="9" t="str">
        <x:v>2 вакансий в основном корпусе; 1 вне основного корпуса</x:v>
      </x:c>
      <x:c r="E153" s="9" t="str">
        <x:v>"Ogilvy" "Runway" job || "Ogilvy" "Runway" site:greenhouse.io || "Ogilvy" "Runway" site:linkedin.com/jobs/view</x:v>
      </x:c>
      <x:c r="F153" s="9" t="str">
        <x:v>ogilvy.com (index only); job-boards.greenhouse.io/david/jobs/4682245005; hk.linkedin.com/jobs/view/3982616441; builtin.com/job/6696293; lb.trabajo.org/offre-4069-5b8309856e5fe8d69223b07f76287695</x:v>
      </x:c>
      <x:c r="G153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53" s="9" t="str">
        <x:v>broad indexed web + primary-domain/ATS index + public LinkedIn/board index; direct full-text verification of candidates</x:v>
      </x:c>
      <x:c r="I153" s="2" t="str">
        <x:v>2026-10-06</x:v>
      </x:c>
    </x:row>
    <x:row r="154" ht="145" customHeight="1">
      <x:c r="A154" s="2" t="str">
        <x:v>A01</x:v>
      </x:c>
      <x:c r="B154" s="9" t="str">
        <x:v>Ogilvy</x:v>
      </x:c>
      <x:c r="C154" s="9" t="str">
        <x:v>Firefly</x:v>
      </x:c>
      <x:c r="D154" s="9" t="str">
        <x:v>3 вакансий в основном корпусе</x:v>
      </x:c>
      <x:c r="E154" s="9" t="str">
        <x:v>"Ogilvy" "Firefly" job || "Ogilvy" "Firefly" site:greenhouse.io || "Ogilvy" "Firefly" site:linkedin.com/jobs/view</x:v>
      </x:c>
      <x:c r="F154" s="9" t="str">
        <x:v>ogilvy.com (index only); job-boards.greenhouse.io/david/jobs/4682245005; hk.linkedin.com/jobs/view/3982616441; builtin.com/job/6696293; lb.trabajo.org/offre-4069-5b8309856e5fe8d69223b07f76287695</x:v>
      </x:c>
      <x:c r="G154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54" s="9" t="str">
        <x:v>broad indexed web + primary-domain/ATS index + public LinkedIn/board index; direct full-text verification of candidates</x:v>
      </x:c>
      <x:c r="I154" s="2" t="str">
        <x:v>2026-10-06</x:v>
      </x:c>
    </x:row>
    <x:row r="155" ht="145" customHeight="1">
      <x:c r="A155" s="2" t="str">
        <x:v>A02</x:v>
      </x:c>
      <x:c r="B155" s="9" t="str">
        <x:v>VML</x:v>
      </x:c>
      <x:c r="C155" s="9" t="str">
        <x:v>Higgsfield</x:v>
      </x:c>
      <x:c r="D155" s="9" t="str">
        <x:v>1 вакансий в основном корпусе</x:v>
      </x:c>
      <x:c r="E155" s="9" t="str">
        <x:v>"VML" "Higgsfield" job || site:vml.com/careers/job "Higgsfield" || "VML" "Higgsfield" site:linkedin.com/jobs/view || "VML" "Higgs Field" job</x:v>
      </x:c>
      <x:c r="F155" s="9" t="str">
        <x:v>vml.com/careers and individual JDs; linkedin.com/jobs/view/4371405756; ca.linkedin.com/jobs/view/4458278460; cn.linkedin.com/jobs/view/4452919192; youllgetit.eu internship mirror</x:v>
      </x:c>
      <x:c r="G155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55" s="9" t="str">
        <x:v>broad indexed web + primary-domain/ATS index + public LinkedIn/board index; direct full-text verification of candidates</x:v>
      </x:c>
      <x:c r="I155" s="2" t="str">
        <x:v>2026-10-06</x:v>
      </x:c>
    </x:row>
    <x:row r="156" ht="145" customHeight="1">
      <x:c r="A156" s="2" t="str">
        <x:v>A02</x:v>
      </x:c>
      <x:c r="B156" s="9" t="str">
        <x:v>VML</x:v>
      </x:c>
      <x:c r="C156" s="9" t="str">
        <x:v>Runway</x:v>
      </x:c>
      <x:c r="D156" s="9" t="str">
        <x:v>1 вакансий в основном корпусе; 1 вне основного корпуса</x:v>
      </x:c>
      <x:c r="E156" s="9" t="str">
        <x:v>"VML" "Runway" job || site:vml.com/careers/job "Runway" || "VML" "Runway" site:linkedin.com/jobs/view</x:v>
      </x:c>
      <x:c r="F156" s="9" t="str">
        <x:v>vml.com/careers and individual JDs; linkedin.com/jobs/view/4371405756; ca.linkedin.com/jobs/view/4458278460; cn.linkedin.com/jobs/view/4452919192; youllgetit.eu internship mirror</x:v>
      </x:c>
      <x:c r="G156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56" s="9" t="str">
        <x:v>broad indexed web + primary-domain/ATS index + public LinkedIn/board index; direct full-text verification of candidates</x:v>
      </x:c>
      <x:c r="I156" s="2" t="str">
        <x:v>2026-10-06</x:v>
      </x:c>
    </x:row>
    <x:row r="157" ht="145" customHeight="1">
      <x:c r="A157" s="2" t="str">
        <x:v>A02</x:v>
      </x:c>
      <x:c r="B157" s="9" t="str">
        <x:v>VML</x:v>
      </x:c>
      <x:c r="C157" s="9" t="str">
        <x:v>Firefly</x:v>
      </x:c>
      <x:c r="D157" s="9" t="str">
        <x:v>4 вакансий в основном корпусе; 2 вне основного корпуса</x:v>
      </x:c>
      <x:c r="E157" s="9" t="str">
        <x:v>"VML" "Firefly" job || site:vml.com/careers/job "Firefly" || "VML" "Firefly" site:linkedin.com/jobs/view</x:v>
      </x:c>
      <x:c r="F157" s="9" t="str">
        <x:v>vml.com/careers and individual JDs; linkedin.com/jobs/view/4371405756; ca.linkedin.com/jobs/view/4458278460; cn.linkedin.com/jobs/view/4452919192; youllgetit.eu internship mirror</x:v>
      </x:c>
      <x:c r="G157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57" s="9" t="str">
        <x:v>broad indexed web + primary-domain/ATS index + public LinkedIn/board index; direct full-text verification of candidates</x:v>
      </x:c>
      <x:c r="I157" s="2" t="str">
        <x:v>2026-10-06</x:v>
      </x:c>
    </x:row>
    <x:row r="158" ht="145" customHeight="1">
      <x:c r="A158" s="2" t="str">
        <x:v>A03</x:v>
      </x:c>
      <x:c r="B158" s="9" t="str">
        <x:v>AKQA</x:v>
      </x:c>
      <x:c r="C158" s="9" t="str">
        <x:v>Higgsfield</x:v>
      </x:c>
      <x:c r="D158" s="9" t="str">
        <x:v>Проверенных упоминаний в основном корпусе не найдено</x:v>
      </x:c>
      <x:c r="E158" s="9" t="str">
        <x:v>"AKQA" "Higgsfield" job || site:akqa.com "Higgsfield" || "AKQA" "Higgsfield" site:linkedin.com/jobs/view || "AKQA" "Higgs Field" job</x:v>
      </x:c>
      <x:c r="F158" s="9" t="str">
        <x:v>akqa.com indexed careers/studios; greenhouse.io indexed AKQA queries; linkedin.com indexed jobs queries; no eligible full JD located</x:v>
      </x:c>
      <x:c r="G158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58" s="9" t="str">
        <x:v>broad indexed web + primary-domain/ATS index + public LinkedIn/board index; direct full-text verification of candidates</x:v>
      </x:c>
      <x:c r="I158" s="2" t="str">
        <x:v>2026-10-06</x:v>
      </x:c>
    </x:row>
    <x:row r="159" ht="145" customHeight="1">
      <x:c r="A159" s="2" t="str">
        <x:v>A03</x:v>
      </x:c>
      <x:c r="B159" s="9" t="str">
        <x:v>AKQA</x:v>
      </x:c>
      <x:c r="C159" s="9" t="str">
        <x:v>Runway</x:v>
      </x:c>
      <x:c r="D159" s="9" t="str">
        <x:v>Проверенных упоминаний в основном корпусе не найдено</x:v>
      </x:c>
      <x:c r="E159" s="9" t="str">
        <x:v>"AKQA" "Runway" job || site:akqa.com "Runway" creative careers || "AKQA" "Runway" site:linkedin.com/jobs/view</x:v>
      </x:c>
      <x:c r="F159" s="9" t="str">
        <x:v>akqa.com indexed careers/studios; greenhouse.io indexed AKQA queries; linkedin.com indexed jobs queries; no eligible full JD located</x:v>
      </x:c>
      <x:c r="G159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59" s="9" t="str">
        <x:v>broad indexed web + primary-domain/ATS index + public LinkedIn/board index; direct full-text verification of candidates</x:v>
      </x:c>
      <x:c r="I159" s="2" t="str">
        <x:v>2026-10-06</x:v>
      </x:c>
    </x:row>
    <x:row r="160" ht="145" customHeight="1">
      <x:c r="A160" s="2" t="str">
        <x:v>A03</x:v>
      </x:c>
      <x:c r="B160" s="9" t="str">
        <x:v>AKQA</x:v>
      </x:c>
      <x:c r="C160" s="9" t="str">
        <x:v>Firefly</x:v>
      </x:c>
      <x:c r="D160" s="9" t="str">
        <x:v>Проверенных упоминаний в основном корпусе не найдено</x:v>
      </x:c>
      <x:c r="E160" s="9" t="str">
        <x:v>"AKQA" "Firefly" job || site:akqa.com "Firefly" || "AKQA" "Firefly" site:linkedin.com/jobs/view</x:v>
      </x:c>
      <x:c r="F160" s="9" t="str">
        <x:v>akqa.com indexed careers/studios; greenhouse.io indexed AKQA queries; linkedin.com indexed jobs queries; no eligible full JD located</x:v>
      </x:c>
      <x:c r="G160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60" s="9" t="str">
        <x:v>broad indexed web + primary-domain/ATS index + public LinkedIn/board index; direct full-text verification of candidates</x:v>
      </x:c>
      <x:c r="I160" s="2" t="str">
        <x:v>2026-10-06</x:v>
      </x:c>
    </x:row>
    <x:row r="161" ht="145" customHeight="1">
      <x:c r="A161" s="2" t="str">
        <x:v>A04</x:v>
      </x:c>
      <x:c r="B161" s="9" t="str">
        <x:v>Hogarth / WPP Production</x:v>
      </x:c>
      <x:c r="C161" s="9" t="str">
        <x:v>Higgsfield</x:v>
      </x:c>
      <x:c r="D161" s="9" t="str">
        <x:v>Проверенных упоминаний в основном корпусе не найдено</x:v>
      </x:c>
      <x:c r="E161" s="9" t="str">
        <x:v>"Hogarth" "Higgsfield" job || "Hogarth" "Higgsfield" site:greenhouse.io || "Hogarth" "Higgsfield" site:linkedin.com/jobs/view || "Hogarth" "Higgs Field" job</x:v>
      </x:c>
      <x:c r="F161" s="9" t="str">
        <x:v>hogarth.com indexed careers; greenhouse.io indexed query; linkedin.com indexed jobs; Built In /7283848 and /6309900; Simplify a66e726d-502a-43e2-961a-153ee549d8c8</x:v>
      </x:c>
      <x:c r="G161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61" s="9" t="str">
        <x:v>broad indexed web + primary-domain/ATS index + public LinkedIn/board index; direct full-text verification of candidates</x:v>
      </x:c>
      <x:c r="I161" s="2" t="str">
        <x:v>2026-10-06</x:v>
      </x:c>
    </x:row>
    <x:row r="162" ht="145" customHeight="1">
      <x:c r="A162" s="2" t="str">
        <x:v>A04</x:v>
      </x:c>
      <x:c r="B162" s="9" t="str">
        <x:v>Hogarth / WPP Production</x:v>
      </x:c>
      <x:c r="C162" s="9" t="str">
        <x:v>Runway</x:v>
      </x:c>
      <x:c r="D162" s="9" t="str">
        <x:v>3 вакансий в основном корпусе</x:v>
      </x:c>
      <x:c r="E162" s="9" t="str">
        <x:v>"Hogarth" "Runway" job || "Hogarth" "Runway" site:greenhouse.io || "Hogarth" "Runway" site:linkedin.com/jobs/view</x:v>
      </x:c>
      <x:c r="F162" s="9" t="str">
        <x:v>hogarth.com indexed careers; greenhouse.io indexed query; linkedin.com indexed jobs; Built In /7283848 and /6309900; Simplify a66e726d-502a-43e2-961a-153ee549d8c8</x:v>
      </x:c>
      <x:c r="G162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62" s="9" t="str">
        <x:v>broad indexed web + primary-domain/ATS index + public LinkedIn/board index; direct full-text verification of candidates</x:v>
      </x:c>
      <x:c r="I162" s="2" t="str">
        <x:v>2026-10-06</x:v>
      </x:c>
    </x:row>
    <x:row r="163" ht="145" customHeight="1">
      <x:c r="A163" s="2" t="str">
        <x:v>A04</x:v>
      </x:c>
      <x:c r="B163" s="9" t="str">
        <x:v>Hogarth / WPP Production</x:v>
      </x:c>
      <x:c r="C163" s="9" t="str">
        <x:v>Firefly</x:v>
      </x:c>
      <x:c r="D163" s="9" t="str">
        <x:v>1 вакансий в основном корпусе; 1 вне основного корпуса</x:v>
      </x:c>
      <x:c r="E163" s="9" t="str">
        <x:v>"Hogarth" "Firefly" job || "Hogarth" "Firefly" site:hogarth.com || "Hogarth" "Firefly" site:linkedin.com/jobs/view</x:v>
      </x:c>
      <x:c r="F163" s="9" t="str">
        <x:v>hogarth.com indexed careers; greenhouse.io indexed query; linkedin.com indexed jobs; Built In /7283848 and /6309900; Simplify a66e726d-502a-43e2-961a-153ee549d8c8</x:v>
      </x:c>
      <x:c r="G163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63" s="9" t="str">
        <x:v>broad indexed web + primary-domain/ATS index + public LinkedIn/board index; direct full-text verification of candidates</x:v>
      </x:c>
      <x:c r="I163" s="2" t="str">
        <x:v>2026-10-06</x:v>
      </x:c>
    </x:row>
    <x:row r="164" ht="145" customHeight="1">
      <x:c r="A164" s="2" t="str">
        <x:v>A05</x:v>
      </x:c>
      <x:c r="B164" s="9" t="str">
        <x:v>BBDO</x:v>
      </x:c>
      <x:c r="C164" s="9" t="str">
        <x:v>Higgsfield</x:v>
      </x:c>
      <x:c r="D164" s="9" t="str">
        <x:v>Проверенных упоминаний в основном корпусе не найдено</x:v>
      </x:c>
      <x:c r="E164" s="9" t="str">
        <x:v>"BBDO" "Higgsfield" job || "BBDO" "Higgsfield" site:myworkdayjobs.com || "BBDO" "Higgsfield" site:linkedin.com/jobs/view || "BBDO" "Хиггсфилд" вакансии</x:v>
      </x:c>
      <x:c r="F164" s="9" t="str">
        <x:v>myworkdayjobs.com indexed BBDO queries; linkedin.com company hiring post 7437402299078979584; HiringCafe WEST BBDO ojikvt97bcp3q02c; rabotajob.ru legacy Moscow lead excluded</x:v>
      </x:c>
      <x:c r="G164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64" s="9" t="str">
        <x:v>broad indexed web + primary-domain/ATS index + public LinkedIn/board index; direct full-text verification of candidates</x:v>
      </x:c>
      <x:c r="I164" s="2" t="str">
        <x:v>2026-10-06</x:v>
      </x:c>
    </x:row>
    <x:row r="165" ht="145" customHeight="1">
      <x:c r="A165" s="2" t="str">
        <x:v>A05</x:v>
      </x:c>
      <x:c r="B165" s="9" t="str">
        <x:v>BBDO</x:v>
      </x:c>
      <x:c r="C165" s="9" t="str">
        <x:v>Runway</x:v>
      </x:c>
      <x:c r="D165" s="9" t="str">
        <x:v>1 вакансий в основном корпусе; 1 вне основного корпуса</x:v>
      </x:c>
      <x:c r="E165" s="9" t="str">
        <x:v>"BBDO" "Runway" job || "BBDO" "Runway" site:myworkdayjobs.com || "BBDO" "Runway" site:linkedin.com/jobs/view</x:v>
      </x:c>
      <x:c r="F165" s="9" t="str">
        <x:v>myworkdayjobs.com indexed BBDO queries; linkedin.com company hiring post 7437402299078979584; HiringCafe WEST BBDO ojikvt97bcp3q02c; rabotajob.ru legacy Moscow lead excluded</x:v>
      </x:c>
      <x:c r="G165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65" s="9" t="str">
        <x:v>broad indexed web + primary-domain/ATS index + public LinkedIn/board index; direct full-text verification of candidates</x:v>
      </x:c>
      <x:c r="I165" s="2" t="str">
        <x:v>2026-10-06</x:v>
      </x:c>
    </x:row>
    <x:row r="166" ht="145" customHeight="1">
      <x:c r="A166" s="2" t="str">
        <x:v>A05</x:v>
      </x:c>
      <x:c r="B166" s="9" t="str">
        <x:v>BBDO</x:v>
      </x:c>
      <x:c r="C166" s="9" t="str">
        <x:v>Firefly</x:v>
      </x:c>
      <x:c r="D166" s="9" t="str">
        <x:v>2 вакансий в основном корпусе</x:v>
      </x:c>
      <x:c r="E166" s="9" t="str">
        <x:v>"BBDO" "Firefly" job || "BBDO" "Firefly" site:myworkdayjobs.com || "BBDO" "Firefly" site:linkedin.com/jobs/view</x:v>
      </x:c>
      <x:c r="F166" s="9" t="str">
        <x:v>myworkdayjobs.com indexed BBDO queries; linkedin.com company hiring post 7437402299078979584; HiringCafe WEST BBDO ojikvt97bcp3q02c; rabotajob.ru legacy Moscow lead excluded</x:v>
      </x:c>
      <x:c r="G166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66" s="9" t="str">
        <x:v>broad indexed web + primary-domain/ATS index + public LinkedIn/board index; direct full-text verification of candidates</x:v>
      </x:c>
      <x:c r="I166" s="2" t="str">
        <x:v>2026-10-06</x:v>
      </x:c>
    </x:row>
    <x:row r="167" ht="145" customHeight="1">
      <x:c r="A167" s="2" t="str">
        <x:v>A06</x:v>
      </x:c>
      <x:c r="B167" s="9" t="str">
        <x:v>TBWA</x:v>
      </x:c>
      <x:c r="C167" s="9" t="str">
        <x:v>Higgsfield</x:v>
      </x:c>
      <x:c r="D167" s="9" t="str">
        <x:v>Проверенных упоминаний в основном корпусе не найдено; 1 вне основного корпуса</x:v>
      </x:c>
      <x:c r="E167" s="9" t="str">
        <x:v>"TBWA" "Higgsfield" job || "TBWA" "Higgsfield" site:tbwa.com || "TBWA" "Higgsfield" site:linkedin.com/jobs/view || "TBWA" "Higgs Field" job</x:v>
      </x:c>
      <x:c r="F167" s="9" t="str">
        <x:v>tbwa.com indexed query; ddb.pl/kariera/creative-technologist-ddbbasket/; HRMOS CREATIVE005 (JV supplemental); LinkedIn employer JDs; yaymonday.be MAKE JD</x:v>
      </x:c>
      <x:c r="G167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67" s="9" t="str">
        <x:v>broad indexed web + primary-domain/ATS index + public LinkedIn/board index; direct full-text verification of candidates</x:v>
      </x:c>
      <x:c r="I167" s="2" t="str">
        <x:v>2026-10-06</x:v>
      </x:c>
    </x:row>
    <x:row r="168" ht="145" customHeight="1">
      <x:c r="A168" s="2" t="str">
        <x:v>A06</x:v>
      </x:c>
      <x:c r="B168" s="9" t="str">
        <x:v>TBWA</x:v>
      </x:c>
      <x:c r="C168" s="9" t="str">
        <x:v>Runway</x:v>
      </x:c>
      <x:c r="D168" s="9" t="str">
        <x:v>4 вакансий в основном корпусе; 3 вне основного корпуса</x:v>
      </x:c>
      <x:c r="E168" s="9" t="str">
        <x:v>"TBWA" "Runway" job || "TBWA" "Runway" site:hrmos.co || "TBWA" "Runway" site:linkedin.com/jobs/view</x:v>
      </x:c>
      <x:c r="F168" s="9" t="str">
        <x:v>tbwa.com indexed query; ddb.pl/kariera/creative-technologist-ddbbasket/; HRMOS CREATIVE005 (JV supplemental); LinkedIn employer JDs; yaymonday.be MAKE JD</x:v>
      </x:c>
      <x:c r="G168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68" s="9" t="str">
        <x:v>broad indexed web + primary-domain/ATS index + public LinkedIn/board index; direct full-text verification of candidates</x:v>
      </x:c>
      <x:c r="I168" s="2" t="str">
        <x:v>2026-10-06</x:v>
      </x:c>
    </x:row>
    <x:row r="169" ht="145" customHeight="1">
      <x:c r="A169" s="2" t="str">
        <x:v>A06</x:v>
      </x:c>
      <x:c r="B169" s="9" t="str">
        <x:v>TBWA</x:v>
      </x:c>
      <x:c r="C169" s="9" t="str">
        <x:v>Firefly</x:v>
      </x:c>
      <x:c r="D169" s="9" t="str">
        <x:v>1 вакансий в основном корпусе; 1 вне основного корпуса</x:v>
      </x:c>
      <x:c r="E169" s="9" t="str">
        <x:v>"TBWA" "Firefly" job || "TBWA" "Firefly" site:greenhouse.io || "TBWA" "Firefly" site:linkedin.com/jobs/view</x:v>
      </x:c>
      <x:c r="F169" s="9" t="str">
        <x:v>tbwa.com indexed query; ddb.pl/kariera/creative-technologist-ddbbasket/; HRMOS CREATIVE005 (JV supplemental); LinkedIn employer JDs; yaymonday.be MAKE JD</x:v>
      </x:c>
      <x:c r="G169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69" s="9" t="str">
        <x:v>broad indexed web + primary-domain/ATS index + public LinkedIn/board index; direct full-text verification of candidates</x:v>
      </x:c>
      <x:c r="I169" s="2" t="str">
        <x:v>2026-10-06</x:v>
      </x:c>
    </x:row>
    <x:row r="170" ht="145" customHeight="1">
      <x:c r="A170" s="2" t="str">
        <x:v>A07</x:v>
      </x:c>
      <x:c r="B170" s="9" t="str">
        <x:v>McCann</x:v>
      </x:c>
      <x:c r="C170" s="9" t="str">
        <x:v>Higgsfield</x:v>
      </x:c>
      <x:c r="D170" s="9" t="str">
        <x:v>1 вакансий в основном корпусе</x:v>
      </x:c>
      <x:c r="E170" s="9" t="str">
        <x:v>"McCann" "Higgsfield" job || "McCann" "Higgsfield" site:mccann.com || "McCann" "Higgsfield" site:linkedin.com/jobs/view || "McCann" "Higgs Field" job</x:v>
      </x:c>
      <x:c r="F170" s="9" t="str">
        <x:v>mccann.com indexed query; mccann.softy.pro/offers/156931; LinkedIn Shanghai/Singapore/FP7/Greece/TLV JDs; Weekday Mumbai/Bangalore mirrors; BeBee Lima mirror</x:v>
      </x:c>
      <x:c r="G170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70" s="9" t="str">
        <x:v>broad indexed web + primary-domain/ATS index + public LinkedIn/board index; direct full-text verification of candidates</x:v>
      </x:c>
      <x:c r="I170" s="2" t="str">
        <x:v>2026-10-06</x:v>
      </x:c>
    </x:row>
    <x:row r="171" ht="145" customHeight="1">
      <x:c r="A171" s="2" t="str">
        <x:v>A07</x:v>
      </x:c>
      <x:c r="B171" s="9" t="str">
        <x:v>McCann</x:v>
      </x:c>
      <x:c r="C171" s="9" t="str">
        <x:v>Runway</x:v>
      </x:c>
      <x:c r="D171" s="9" t="str">
        <x:v>7 вакансий в основном корпусе</x:v>
      </x:c>
      <x:c r="E171" s="9" t="str">
        <x:v>"McCann" "Runway" job || "McCann" "Runway" site:softy.pro || "McCann" "Runway" site:linkedin.com/jobs/view</x:v>
      </x:c>
      <x:c r="F171" s="9" t="str">
        <x:v>mccann.com indexed query; mccann.softy.pro/offers/156931; LinkedIn Shanghai/Singapore/FP7/Greece/TLV JDs; Weekday Mumbai/Bangalore mirrors; BeBee Lima mirror</x:v>
      </x:c>
      <x:c r="G171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71" s="9" t="str">
        <x:v>broad indexed web + primary-domain/ATS index + public LinkedIn/board index; direct full-text verification of candidates</x:v>
      </x:c>
      <x:c r="I171" s="2" t="str">
        <x:v>2026-10-06</x:v>
      </x:c>
    </x:row>
    <x:row r="172" ht="145" customHeight="1">
      <x:c r="A172" s="2" t="str">
        <x:v>A07</x:v>
      </x:c>
      <x:c r="B172" s="9" t="str">
        <x:v>McCann</x:v>
      </x:c>
      <x:c r="C172" s="9" t="str">
        <x:v>Firefly</x:v>
      </x:c>
      <x:c r="D172" s="9" t="str">
        <x:v>5 вакансий в основном корпусе; 1 вне основного корпуса</x:v>
      </x:c>
      <x:c r="E172" s="9" t="str">
        <x:v>"McCann" "Firefly" job || "McCann" "Firefly" site:softy.pro || "McCann" "Firefly" site:linkedin.com/jobs/view</x:v>
      </x:c>
      <x:c r="F172" s="9" t="str">
        <x:v>mccann.com indexed query; mccann.softy.pro/offers/156931; LinkedIn Shanghai/Singapore/FP7/Greece/TLV JDs; Weekday Mumbai/Bangalore mirrors; BeBee Lima mirror</x:v>
      </x:c>
      <x:c r="G172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</x:v>
      </x:c>
      <x:c r="H172" s="9" t="str">
        <x:v>broad indexed web + primary-domain/ATS index + public LinkedIn/board index; direct full-text verification of candidates</x:v>
      </x:c>
      <x:c r="I172" s="2" t="str">
        <x:v>2026-10-06</x:v>
      </x:c>
    </x:row>
    <x:row r="173" ht="145" customHeight="1">
      <x:c r="A173" s="2" t="str">
        <x:v>A08</x:v>
      </x:c>
      <x:c r="B173" s="9" t="str">
        <x:v>FCB</x:v>
      </x:c>
      <x:c r="C173" s="9" t="str">
        <x:v>Higgsfield</x:v>
      </x:c>
      <x:c r="D173" s="9" t="str">
        <x:v>1 вакансий в основном корпусе</x:v>
      </x:c>
      <x:c r="E173" s="9" t="str">
        <x:v>"FCB" "Higgsfield" job || "FCB" "Higgsfield" site:kinnectonline.com || "FCB" "Higgsfield" site:linkedin.com/jobs/view || "FCB" "Higgs Field" job</x:v>
      </x:c>
      <x:c r="F173" s="9" t="str">
        <x:v>fcb.com / kinnectonline.com indexed queries; LinkedIn indexed jobs; getmereferred.com cbabb472-b832-45a6-a28d-45851545b927; ifyoucouldjobs.com/2741973661; Pracuj Health Spark excluded</x:v>
      </x:c>
      <x:c r="G173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 FCB Health excluded as distinct network; FCB Kinnect historical name retained.</x:v>
      </x:c>
      <x:c r="H173" s="9" t="str">
        <x:v>broad indexed web + primary-domain/ATS index + public LinkedIn/board index; direct full-text verification of candidates</x:v>
      </x:c>
      <x:c r="I173" s="2" t="str">
        <x:v>2026-10-06</x:v>
      </x:c>
    </x:row>
    <x:row r="174" ht="145" customHeight="1">
      <x:c r="A174" s="2" t="str">
        <x:v>A08</x:v>
      </x:c>
      <x:c r="B174" s="9" t="str">
        <x:v>FCB</x:v>
      </x:c>
      <x:c r="C174" s="9" t="str">
        <x:v>Runway</x:v>
      </x:c>
      <x:c r="D174" s="9" t="str">
        <x:v>2 вакансий в основном корпусе</x:v>
      </x:c>
      <x:c r="E174" s="9" t="str">
        <x:v>"FCB" "Runway" job || "FCB" "Runway" site:fcb.com || "FCB" "Runway" site:linkedin.com/jobs/view</x:v>
      </x:c>
      <x:c r="F174" s="9" t="str">
        <x:v>fcb.com / kinnectonline.com indexed queries; LinkedIn indexed jobs; getmereferred.com cbabb472-b832-45a6-a28d-45851545b927; ifyoucouldjobs.com/2741973661; Pracuj Health Spark excluded</x:v>
      </x:c>
      <x:c r="G174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 FCB Health excluded as distinct network; FCB Kinnect historical name retained.</x:v>
      </x:c>
      <x:c r="H174" s="9" t="str">
        <x:v>broad indexed web + primary-domain/ATS index + public LinkedIn/board index; direct full-text verification of candidates</x:v>
      </x:c>
      <x:c r="I174" s="2" t="str">
        <x:v>2026-10-06</x:v>
      </x:c>
    </x:row>
    <x:row r="175" ht="145" customHeight="1">
      <x:c r="A175" s="2" t="str">
        <x:v>A08</x:v>
      </x:c>
      <x:c r="B175" s="9" t="str">
        <x:v>FCB</x:v>
      </x:c>
      <x:c r="C175" s="9" t="str">
        <x:v>Firefly</x:v>
      </x:c>
      <x:c r="D175" s="9" t="str">
        <x:v>1 вакансий в основном корпусе; 1 вне основного корпуса</x:v>
      </x:c>
      <x:c r="E175" s="9" t="str">
        <x:v>"FCB" "Firefly" job || "FCB" "Firefly" site:fcb.com || "FCB" "Firefly" site:linkedin.com/jobs/view</x:v>
      </x:c>
      <x:c r="F175" s="9" t="str">
        <x:v>fcb.com / kinnectonline.com indexed queries; LinkedIn indexed jobs; getmereferred.com cbabb472-b832-45a6-a28d-45851545b927; ifyoucouldjobs.com/2741973661; Pracuj Health Spark excluded</x:v>
      </x:c>
      <x:c r="G175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 FCB Health excluded as distinct network; FCB Kinnect historical name retained.</x:v>
      </x:c>
      <x:c r="H175" s="9" t="str">
        <x:v>broad indexed web + primary-domain/ATS index + public LinkedIn/board index; direct full-text verification of candidates</x:v>
      </x:c>
      <x:c r="I175" s="2" t="str">
        <x:v>2026-10-06</x:v>
      </x:c>
    </x:row>
    <x:row r="176" ht="145" customHeight="1">
      <x:c r="A176" s="2" t="str">
        <x:v>A09</x:v>
      </x:c>
      <x:c r="B176" s="9" t="str">
        <x:v>DDB</x:v>
      </x:c>
      <x:c r="C176" s="9" t="str">
        <x:v>Higgsfield</x:v>
      </x:c>
      <x:c r="D176" s="9" t="str">
        <x:v>Проверенных упоминаний в основном корпусе не найдено</x:v>
      </x:c>
      <x:c r="E176" s="9" t="str">
        <x:v>"DDB" "Higgsfield" job || site:ddb.pl "Higgsfield" || "DDB" "Higgsfield" site:linkedin.com/jobs/view || "DDB" "Хиггсфилд" вакансии</x:v>
      </x:c>
      <x:c r="F176" s="9" t="str">
        <x:v>ddb.pl indexed and Creative Technologist full JD (now TBWA); LinkedIn indexed jobs; Glassdoor legacy index lead merged; no independent eligible DDB JD located</x:v>
      </x:c>
      <x:c r="G176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 DDB basket legal entity now explicitly branded TBWA; counted only under TBWA.</x:v>
      </x:c>
      <x:c r="H176" s="9" t="str">
        <x:v>broad indexed web + primary-domain/ATS index + public LinkedIn/board index; direct full-text verification of candidates</x:v>
      </x:c>
      <x:c r="I176" s="2" t="str">
        <x:v>2026-10-06</x:v>
      </x:c>
    </x:row>
    <x:row r="177" ht="145" customHeight="1">
      <x:c r="A177" s="2" t="str">
        <x:v>A09</x:v>
      </x:c>
      <x:c r="B177" s="9" t="str">
        <x:v>DDB</x:v>
      </x:c>
      <x:c r="C177" s="9" t="str">
        <x:v>Runway</x:v>
      </x:c>
      <x:c r="D177" s="9" t="str">
        <x:v>Проверенных упоминаний в основном корпусе не найдено</x:v>
      </x:c>
      <x:c r="E177" s="9" t="str">
        <x:v>"DDB" "Runway" job || site:ddb.pl "Runway" || "DDB" "Runway" site:linkedin.com/jobs/view</x:v>
      </x:c>
      <x:c r="F177" s="9" t="str">
        <x:v>ddb.pl indexed and Creative Technologist full JD (now TBWA); LinkedIn indexed jobs; Glassdoor legacy index lead merged; no independent eligible DDB JD located</x:v>
      </x:c>
      <x:c r="G177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 DDB basket legal entity now explicitly branded TBWA; counted only under TBWA.</x:v>
      </x:c>
      <x:c r="H177" s="9" t="str">
        <x:v>broad indexed web + primary-domain/ATS index + public LinkedIn/board index; direct full-text verification of candidates</x:v>
      </x:c>
      <x:c r="I177" s="2" t="str">
        <x:v>2026-10-06</x:v>
      </x:c>
    </x:row>
    <x:row r="178" ht="145" customHeight="1">
      <x:c r="A178" s="2" t="str">
        <x:v>A09</x:v>
      </x:c>
      <x:c r="B178" s="9" t="str">
        <x:v>DDB</x:v>
      </x:c>
      <x:c r="C178" s="9" t="str">
        <x:v>Firefly</x:v>
      </x:c>
      <x:c r="D178" s="9" t="str">
        <x:v>Проверенных упоминаний в основном корпусе не найдено</x:v>
      </x:c>
      <x:c r="E178" s="9" t="str">
        <x:v>"DDB" "Firefly" job || site:ddb.pl "Firefly" || "DDB" "Firefly" site:linkedin.com/jobs/view</x:v>
      </x:c>
      <x:c r="F178" s="9" t="str">
        <x:v>ddb.pl indexed and Creative Technologist full JD (now TBWA); LinkedIn indexed jobs; Glassdoor legacy index lead merged; no independent eligible DDB JD located</x:v>
      </x:c>
      <x:c r="G178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 DDB basket legal entity now explicitly branded TBWA; counted only under TBWA.</x:v>
      </x:c>
      <x:c r="H178" s="9" t="str">
        <x:v>broad indexed web + primary-domain/ATS index + public LinkedIn/board index; direct full-text verification of candidates</x:v>
      </x:c>
      <x:c r="I178" s="2" t="str">
        <x:v>2026-10-06</x:v>
      </x:c>
    </x:row>
    <x:row r="179" ht="145" customHeight="1">
      <x:c r="A179" s="2" t="str">
        <x:v>A10</x:v>
      </x:c>
      <x:c r="B179" s="9" t="str">
        <x:v>Saatchi &amp; Saatchi</x:v>
      </x:c>
      <x:c r="C179" s="9" t="str">
        <x:v>Higgsfield</x:v>
      </x:c>
      <x:c r="D179" s="9" t="str">
        <x:v>Проверенных упоминаний в основном корпусе не найдено</x:v>
      </x:c>
      <x:c r="E179" s="9" t="str">
        <x:v>"Saatchi" "Higgsfield" job; "Saatchi &amp; Saatchi" "Higgsfield" vacancy || "Saatchi &amp; Saatchi" "Higgsfield" site:careers.publicisgroupe.com || "Saatchi &amp; Saatchi" "Higgsfield" site:linkedin.com/jobs/view || "Saatchi" "Higgs Field" job</x:v>
      </x:c>
      <x:c r="F179" s="9" t="str">
        <x:v>careers.publicisgroupe.com / smartrecruiters.com indexed queries; LinkedIn Poland 4344823824 and 4366037961; M&amp;C Saatchi and other Publicis boilerplate-only mentions excluded</x:v>
      </x:c>
      <x:c r="G179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 M&amp;C Saatchi is a distinct company and excluded.</x:v>
      </x:c>
      <x:c r="H179" s="9" t="str">
        <x:v>broad indexed web + primary-domain/ATS index + public LinkedIn/board index; direct full-text verification of candidates</x:v>
      </x:c>
      <x:c r="I179" s="2" t="str">
        <x:v>2026-10-06</x:v>
      </x:c>
    </x:row>
    <x:row r="180" ht="145" customHeight="1">
      <x:c r="A180" s="2" t="str">
        <x:v>A10</x:v>
      </x:c>
      <x:c r="B180" s="9" t="str">
        <x:v>Saatchi &amp; Saatchi</x:v>
      </x:c>
      <x:c r="C180" s="9" t="str">
        <x:v>Runway</x:v>
      </x:c>
      <x:c r="D180" s="9" t="str">
        <x:v>2 вакансий в основном корпусе</x:v>
      </x:c>
      <x:c r="E180" s="9" t="str">
        <x:v>"Saatchi &amp; Saatchi" "Runway" job || "Saatchi &amp; Saatchi" "Runway" site:careers.publicisgroupe.com || "Saatchi &amp; Saatchi" "Runway" site:linkedin.com/jobs/view</x:v>
      </x:c>
      <x:c r="F180" s="9" t="str">
        <x:v>careers.publicisgroupe.com / smartrecruiters.com indexed queries; LinkedIn Poland 4344823824 and 4366037961; M&amp;C Saatchi and other Publicis boilerplate-only mentions excluded</x:v>
      </x:c>
      <x:c r="G180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 M&amp;C Saatchi is a distinct company and excluded.</x:v>
      </x:c>
      <x:c r="H180" s="9" t="str">
        <x:v>broad indexed web + primary-domain/ATS index + public LinkedIn/board index; direct full-text verification of candidates</x:v>
      </x:c>
      <x:c r="I180" s="2" t="str">
        <x:v>2026-10-06</x:v>
      </x:c>
    </x:row>
    <x:row r="181" ht="145" customHeight="1">
      <x:c r="A181" s="2" t="str">
        <x:v>A10</x:v>
      </x:c>
      <x:c r="B181" s="9" t="str">
        <x:v>Saatchi &amp; Saatchi</x:v>
      </x:c>
      <x:c r="C181" s="9" t="str">
        <x:v>Firefly</x:v>
      </x:c>
      <x:c r="D181" s="9" t="str">
        <x:v>2 вакансий в основном корпусе</x:v>
      </x:c>
      <x:c r="E181" s="9" t="str">
        <x:v>"Saatchi &amp; Saatchi" "Firefly" job || "Saatchi &amp; Saatchi" "Firefly" site:careers.publicisgroupe.com || "Saatchi &amp; Saatchi" "Firefly" site:linkedin.com/jobs/view</x:v>
      </x:c>
      <x:c r="F181" s="9" t="str">
        <x:v>careers.publicisgroupe.com / smartrecruiters.com indexed queries; LinkedIn Poland 4344823824 and 4366037961; M&amp;C Saatchi and other Publicis boilerplate-only mentions excluded</x:v>
      </x:c>
      <x:c r="G181" s="9" t="str">
        <x:v>Indexed public-web lower-bound search, not a complete ATS/archive crawl. Search engine sometimes broadened no-hit queries; irrelevant results excluded. No accounts used. Unknown original dates explicitly retained; historical postings included. A not-found result does not mean zero use or no jobs. Search snippets alone not counted. M&amp;C Saatchi is a distinct company and excluded.</x:v>
      </x:c>
      <x:c r="H181" s="9" t="str">
        <x:v>broad indexed web + primary-domain/ATS index + public LinkedIn/board index; direct full-text verification of candidates</x:v>
      </x:c>
      <x:c r="I181" s="2" t="str">
        <x:v>2026-10-06</x:v>
      </x:c>
    </x:row>
    <x:row r="182" ht="145" customHeight="1">
      <x:c r="A182" s="2" t="str">
        <x:v>A11</x:v>
      </x:c>
      <x:c r="B182" s="9" t="str">
        <x:v>Leo</x:v>
      </x:c>
      <x:c r="C182" s="9" t="str">
        <x:v>Higgsfield</x:v>
      </x:c>
      <x:c r="D182" s="9" t="str">
        <x:v>Проверенных упоминаний в основном корпусе не найдено; 2 вне основного корпуса</x:v>
      </x:c>
      <x:c r="E182" s="9" t="str">
        <x:v>("Leo Burnett" OR "Publicis Worldwide" OR "Leo") ("Higgsfield") (jobs OR careers OR hiring) | site:careers.publicisgroupe.com (Leo OR leoburnett) "Higgsfield"</x:v>
      </x:c>
      <x:c r="F182" s="9" t="str">
        <x:v>Official Publicis/Leo career index and indexed LinkedIn jobs; LEO MEA employer identity verified. Chemistry content creator excluded; Adcom recruitment-post lead unverified beyond search cache.</x:v>
      </x:c>
      <x:c r="G182" s="9" t="str">
        <x:v>Search-index and public availability limited; deleted/unindexed/private jobs may be absent. No earliest cutoff. Unknown dates explicitly flagged. Nonhit does not mean zero adoption or usage.</x:v>
      </x:c>
      <x:c r="H182" s="9" t="str"/>
      <x:c r="I182" s="2" t="str">
        <x:v>2026-10-06</x:v>
      </x:c>
    </x:row>
    <x:row r="183" ht="145" customHeight="1">
      <x:c r="A183" s="2" t="str">
        <x:v>A11</x:v>
      </x:c>
      <x:c r="B183" s="9" t="str">
        <x:v>Leo</x:v>
      </x:c>
      <x:c r="C183" s="9" t="str">
        <x:v>Runway</x:v>
      </x:c>
      <x:c r="D183" s="9" t="str">
        <x:v>1 вакансий в основном корпусе; 1 вне основного корпуса</x:v>
      </x:c>
      <x:c r="E183" s="9" t="str">
        <x:v>("Leo Burnett" OR "Publicis Worldwide") "Runway" (jobs OR careers) | site:linkedin.com/jobs/view ("Leo Burnett" OR "Leo") "Runway"</x:v>
      </x:c>
      <x:c r="F183" s="9" t="str">
        <x:v>Official Publicis/Leo career index and indexed LinkedIn jobs; LEO MEA employer identity verified. Chemistry content creator excluded; Adcom recruitment-post lead unverified beyond search cache.</x:v>
      </x:c>
      <x:c r="G183" s="9" t="str">
        <x:v>Search-index and public availability limited; deleted/unindexed/private jobs may be absent. No earliest cutoff. Unknown dates explicitly flagged. Nonhit does not mean zero adoption or usage.</x:v>
      </x:c>
      <x:c r="H183" s="9" t="str"/>
      <x:c r="I183" s="2" t="str">
        <x:v>2026-10-06</x:v>
      </x:c>
    </x:row>
    <x:row r="184" ht="145" customHeight="1">
      <x:c r="A184" s="2" t="str">
        <x:v>A11</x:v>
      </x:c>
      <x:c r="B184" s="9" t="str">
        <x:v>Leo</x:v>
      </x:c>
      <x:c r="C184" s="9" t="str">
        <x:v>Adobe Firefly</x:v>
      </x:c>
      <x:c r="D184" s="9" t="str">
        <x:v>Проверенных упоминаний в основном корпусе не найдено</x:v>
      </x:c>
      <x:c r="E184" s="9" t="str">
        <x:v>("Leo Burnett" OR "Publicis Worldwide") "Firefly" (jobs OR careers) | site:linkedin.com/jobs/view ("Leo Burnett" OR "Leo") "Firefly"</x:v>
      </x:c>
      <x:c r="F184" s="9" t="str">
        <x:v>Official Publicis/Leo career index and indexed LinkedIn jobs; LEO MEA employer identity verified. Chemistry content creator excluded; Adcom recruitment-post lead unverified beyond search cache.</x:v>
      </x:c>
      <x:c r="G184" s="9" t="str">
        <x:v>Search-index and public availability limited; deleted/unindexed/private jobs may be absent. No earliest cutoff. Unknown dates explicitly flagged. Nonhit does not mean zero adoption or usage.</x:v>
      </x:c>
      <x:c r="H184" s="9" t="str"/>
      <x:c r="I184" s="2" t="str">
        <x:v>2026-10-06</x:v>
      </x:c>
    </x:row>
    <x:row r="185" ht="145" customHeight="1">
      <x:c r="A185" s="2" t="str">
        <x:v>A12</x:v>
      </x:c>
      <x:c r="B185" s="9" t="str">
        <x:v>Digitas</x:v>
      </x:c>
      <x:c r="C185" s="9" t="str">
        <x:v>Higgsfield</x:v>
      </x:c>
      <x:c r="D185" s="9" t="str">
        <x:v>Проверенных упоминаний в основном корпусе не найдено</x:v>
      </x:c>
      <x:c r="E185" s="9" t="str">
        <x:v>"Digitas" "Higgsfield" (jobs OR careers) | site:careers.publicisgroupe.com/digitas "Higgsfield"</x:v>
      </x:c>
      <x:c r="F185" s="9" t="str">
        <x:v>Official Publicis careers site search; indexed employer LinkedIn and full BeBee JD. Generic architectural runway and employee CV/profile matches excluded.</x:v>
      </x:c>
      <x:c r="G185" s="9" t="str">
        <x:v>Search-index and public availability limited; deleted/unindexed/private jobs may be absent. No earliest cutoff. Unknown dates explicitly flagged. Nonhit does not mean zero adoption or usage.</x:v>
      </x:c>
      <x:c r="H185" s="9" t="str"/>
      <x:c r="I185" s="2" t="str">
        <x:v>2026-10-06</x:v>
      </x:c>
    </x:row>
    <x:row r="186" ht="145" customHeight="1">
      <x:c r="A186" s="2" t="str">
        <x:v>A12</x:v>
      </x:c>
      <x:c r="B186" s="9" t="str">
        <x:v>Digitas</x:v>
      </x:c>
      <x:c r="C186" s="9" t="str">
        <x:v>Runway</x:v>
      </x:c>
      <x:c r="D186" s="9" t="str">
        <x:v>1 вакансий в основном корпусе; 1 вне основного корпуса</x:v>
      </x:c>
      <x:c r="E186" s="9" t="str">
        <x:v>"Digitas" "Runway" job | site:careers.publicisgroupe.com "Digitas" "Runway"</x:v>
      </x:c>
      <x:c r="F186" s="9" t="str">
        <x:v>Official Publicis careers site search; indexed employer LinkedIn and full BeBee JD. Generic architectural runway and employee CV/profile matches excluded.</x:v>
      </x:c>
      <x:c r="G186" s="9" t="str">
        <x:v>Search-index and public availability limited; deleted/unindexed/private jobs may be absent. No earliest cutoff. Unknown dates explicitly flagged. Nonhit does not mean zero adoption or usage.</x:v>
      </x:c>
      <x:c r="H186" s="9" t="str"/>
      <x:c r="I186" s="2" t="str">
        <x:v>2026-10-06</x:v>
      </x:c>
    </x:row>
    <x:row r="187" ht="145" customHeight="1">
      <x:c r="A187" s="2" t="str">
        <x:v>A12</x:v>
      </x:c>
      <x:c r="B187" s="9" t="str">
        <x:v>Digitas</x:v>
      </x:c>
      <x:c r="C187" s="9" t="str">
        <x:v>Adobe Firefly</x:v>
      </x:c>
      <x:c r="D187" s="9" t="str">
        <x:v>Проверенных упоминаний в основном корпусе не найдено; 1 вне основного корпуса</x:v>
      </x:c>
      <x:c r="E187" s="9" t="str">
        <x:v>"Digitas" "Adobe Firefly" job | site:careers.publicisgroupe.com "Digitas" "Firefly"</x:v>
      </x:c>
      <x:c r="F187" s="9" t="str">
        <x:v>Official Publicis careers site search; indexed employer LinkedIn and full BeBee JD. Generic architectural runway and employee CV/profile matches excluded.</x:v>
      </x:c>
      <x:c r="G187" s="9" t="str">
        <x:v>Search-index and public availability limited; deleted/unindexed/private jobs may be absent. No earliest cutoff. Unknown dates explicitly flagged. Nonhit does not mean zero adoption or usage.</x:v>
      </x:c>
      <x:c r="H187" s="9" t="str"/>
      <x:c r="I187" s="2" t="str">
        <x:v>2026-10-06</x:v>
      </x:c>
    </x:row>
    <x:row r="188" ht="145" customHeight="1">
      <x:c r="A188" s="2" t="str">
        <x:v>A13</x:v>
      </x:c>
      <x:c r="B188" s="9" t="str">
        <x:v>Accenture Song / Droga5</x:v>
      </x:c>
      <x:c r="C188" s="9" t="str">
        <x:v>Higgsfield</x:v>
      </x:c>
      <x:c r="D188" s="9" t="str">
        <x:v>1 вакансий в основном корпусе</x:v>
      </x:c>
      <x:c r="E188" s="9" t="str">
        <x:v>("Accenture Song" OR "Droga5") "Higgsfield" job | site:linkedin.com/jobs/view ("Droga5" OR "Accenture Song") "Higgsfield"</x:v>
      </x:c>
      <x:c r="F188" s="9" t="str">
        <x:v>Official Accenture career pages plus employer LinkedIn full JDs. All locale mirrors deduplicated by requisition. Canvas/internal Accenture marketing roles excluded.</x:v>
      </x:c>
      <x:c r="G188" s="9" t="str">
        <x:v>Search-index and public availability limited; deleted/unindexed/private jobs may be absent. No earliest cutoff. Unknown dates explicitly flagged. Nonhit does not mean zero adoption or usage.</x:v>
      </x:c>
      <x:c r="H188" s="9" t="str"/>
      <x:c r="I188" s="2" t="str">
        <x:v>2026-10-06</x:v>
      </x:c>
    </x:row>
    <x:row r="189" ht="145" customHeight="1">
      <x:c r="A189" s="2" t="str">
        <x:v>A13</x:v>
      </x:c>
      <x:c r="B189" s="9" t="str">
        <x:v>Accenture Song / Droga5</x:v>
      </x:c>
      <x:c r="C189" s="9" t="str">
        <x:v>Runway</x:v>
      </x:c>
      <x:c r="D189" s="9" t="str">
        <x:v>2 вакансий в основном корпусе</x:v>
      </x:c>
      <x:c r="E189" s="9" t="str">
        <x:v>("Accenture Song" OR "Droga5") "Runway" job | site:accenture.com "Song" "Runway" job</x:v>
      </x:c>
      <x:c r="F189" s="9" t="str">
        <x:v>Official Accenture career pages plus employer LinkedIn full JDs. All locale mirrors deduplicated by requisition. Canvas/internal Accenture marketing roles excluded.</x:v>
      </x:c>
      <x:c r="G189" s="9" t="str">
        <x:v>Search-index and public availability limited; deleted/unindexed/private jobs may be absent. No earliest cutoff. Unknown dates explicitly flagged. Nonhit does not mean zero adoption or usage.</x:v>
      </x:c>
      <x:c r="H189" s="9" t="str"/>
      <x:c r="I189" s="2" t="str">
        <x:v>2026-10-06</x:v>
      </x:c>
    </x:row>
    <x:row r="190" ht="145" customHeight="1">
      <x:c r="A190" s="2" t="str">
        <x:v>A13</x:v>
      </x:c>
      <x:c r="B190" s="9" t="str">
        <x:v>Accenture Song / Droga5</x:v>
      </x:c>
      <x:c r="C190" s="9" t="str">
        <x:v>Adobe Firefly</x:v>
      </x:c>
      <x:c r="D190" s="9" t="str">
        <x:v>2 вакансий в основном корпусе; 1 вне основного корпуса</x:v>
      </x:c>
      <x:c r="E190" s="9" t="str">
        <x:v>("Accenture Song" OR "Droga5") "Adobe Firefly" job | site:accenture.com/careers ("Droga5" OR "Song") "Firefly"</x:v>
      </x:c>
      <x:c r="F190" s="9" t="str">
        <x:v>Official Accenture career pages plus employer LinkedIn full JDs. All locale mirrors deduplicated by requisition. Canvas/internal Accenture marketing roles excluded.</x:v>
      </x:c>
      <x:c r="G190" s="9" t="str">
        <x:v>Search-index and public availability limited; deleted/unindexed/private jobs may be absent. No earliest cutoff. Unknown dates explicitly flagged. Nonhit does not mean zero adoption or usage.</x:v>
      </x:c>
      <x:c r="H190" s="9" t="str"/>
      <x:c r="I190" s="2" t="str">
        <x:v>2026-10-06</x:v>
      </x:c>
    </x:row>
    <x:row r="191" ht="145" customHeight="1">
      <x:c r="A191" s="2" t="str">
        <x:v>A14</x:v>
      </x:c>
      <x:c r="B191" s="9" t="str">
        <x:v>Dentsu Creative</x:v>
      </x:c>
      <x:c r="C191" s="9" t="str">
        <x:v>Higgsfield</x:v>
      </x:c>
      <x:c r="D191" s="9" t="str">
        <x:v>Проверенных упоминаний в основном корпусе не найдено</x:v>
      </x:c>
      <x:c r="E191" s="9" t="str">
        <x:v>"Dentsu Creative" "Higgsfield" job | site:linkedin.com/jobs/view "dentsu" "Higgsfield"</x:v>
      </x:c>
      <x:c r="F191" s="9" t="str">
        <x:v>Public Workday keyword searches: Higgsfield=0, Runway=0, Firefly=4 current global hits. All four inspected; two generic Dentsu Cairo and two Merkle outside exact Creative scope. Historical Dentsu Creative LinkedIn and Built In full JDs verified.</x:v>
      </x:c>
      <x:c r="G191" s="9" t="str">
        <x:v>Search-index and public availability limited; deleted/unindexed/private jobs may be absent. No earliest cutoff. Unknown dates explicitly flagged. Nonhit does not mean zero adoption or usage.</x:v>
      </x:c>
      <x:c r="H191" s="9" t="str"/>
      <x:c r="I191" s="2" t="str">
        <x:v>2026-10-06</x:v>
      </x:c>
    </x:row>
    <x:row r="192" ht="145" customHeight="1">
      <x:c r="A192" s="2" t="str">
        <x:v>A14</x:v>
      </x:c>
      <x:c r="B192" s="9" t="str">
        <x:v>Dentsu Creative</x:v>
      </x:c>
      <x:c r="C192" s="9" t="str">
        <x:v>Runway</x:v>
      </x:c>
      <x:c r="D192" s="9" t="str">
        <x:v>Проверенных упоминаний в основном корпусе не найдено</x:v>
      </x:c>
      <x:c r="E192" s="9" t="str">
        <x:v>"Dentsu Creative" "Runway" job | site:myworkdayjobs.com "Dentsu Creative" "Runway"</x:v>
      </x:c>
      <x:c r="F192" s="9" t="str">
        <x:v>Public Workday keyword searches: Higgsfield=0, Runway=0, Firefly=4 current global hits. All four inspected; two generic Dentsu Cairo and two Merkle outside exact Creative scope. Historical Dentsu Creative LinkedIn and Built In full JDs verified.</x:v>
      </x:c>
      <x:c r="G192" s="9" t="str">
        <x:v>Search-index and public availability limited; deleted/unindexed/private jobs may be absent. No earliest cutoff. Unknown dates explicitly flagged. Nonhit does not mean zero adoption or usage.</x:v>
      </x:c>
      <x:c r="H192" s="9" t="str"/>
      <x:c r="I192" s="2" t="str">
        <x:v>2026-10-06</x:v>
      </x:c>
    </x:row>
    <x:row r="193" ht="145" customHeight="1">
      <x:c r="A193" s="2" t="str">
        <x:v>A14</x:v>
      </x:c>
      <x:c r="B193" s="9" t="str">
        <x:v>Dentsu Creative</x:v>
      </x:c>
      <x:c r="C193" s="9" t="str">
        <x:v>Adobe Firefly</x:v>
      </x:c>
      <x:c r="D193" s="9" t="str">
        <x:v>2 вакансий в основном корпусе; 4 вне основного корпуса</x:v>
      </x:c>
      <x:c r="E193" s="9" t="str">
        <x:v>"Dentsu Creative" "Adobe Firefly" job | site:linkedin.com/jobs/view "Dentsu Creative" "Firefly"</x:v>
      </x:c>
      <x:c r="F193" s="9" t="str">
        <x:v>Public Workday keyword searches: Higgsfield=0, Runway=0, Firefly=4 current global hits. All four inspected; two generic Dentsu Cairo and two Merkle outside exact Creative scope. Historical Dentsu Creative LinkedIn and Built In full JDs verified.</x:v>
      </x:c>
      <x:c r="G193" s="9" t="str">
        <x:v>Search-index and public availability limited; deleted/unindexed/private jobs may be absent. No earliest cutoff. Unknown dates explicitly flagged. Nonhit does not mean zero adoption or usage.</x:v>
      </x:c>
      <x:c r="H193" s="9" t="str"/>
      <x:c r="I193" s="2" t="str">
        <x:v>2026-10-06</x:v>
      </x:c>
    </x:row>
    <x:row r="194" ht="145" customHeight="1">
      <x:c r="A194" s="2" t="str">
        <x:v>A15</x:v>
      </x:c>
      <x:c r="B194" s="9" t="str">
        <x:v>Havas Creative</x:v>
      </x:c>
      <x:c r="C194" s="9" t="str">
        <x:v>Higgsfield</x:v>
      </x:c>
      <x:c r="D194" s="9" t="str">
        <x:v>1 вакансий в основном корпусе; 1 вне основного корпуса</x:v>
      </x:c>
      <x:c r="E194" s="9" t="str">
        <x:v>"Havas Creative" "Higgsfield" job | site:myworkdayjobs.com "Havas" "Higgsfield"</x:v>
      </x:c>
      <x:c r="F194" s="9" t="str">
        <x:v>Public Workday keyword searches: 1 current hit per tool, all one requisition JR0097209. Full JD retrieved. Prose on Pixels mapping via official Havas prospectus. Havas Health role excluded.</x:v>
      </x:c>
      <x:c r="G194" s="9" t="str">
        <x:v>Search-index and public availability limited; deleted/unindexed/private jobs may be absent. No earliest cutoff. Unknown dates explicitly flagged. Nonhit does not mean zero adoption or usage.</x:v>
      </x:c>
      <x:c r="H194" s="9" t="str"/>
      <x:c r="I194" s="2" t="str">
        <x:v>2026-10-06</x:v>
      </x:c>
    </x:row>
    <x:row r="195" ht="145" customHeight="1">
      <x:c r="A195" s="2" t="str">
        <x:v>A15</x:v>
      </x:c>
      <x:c r="B195" s="9" t="str">
        <x:v>Havas Creative</x:v>
      </x:c>
      <x:c r="C195" s="9" t="str">
        <x:v>Runway</x:v>
      </x:c>
      <x:c r="D195" s="9" t="str">
        <x:v>1 вакансий в основном корпусе; 1 вне основного корпуса</x:v>
      </x:c>
      <x:c r="E195" s="9" t="str">
        <x:v>"Havas Creative" "Runway" job | site:linkedin.com/jobs/view "Havas" "Runway"</x:v>
      </x:c>
      <x:c r="F195" s="9" t="str">
        <x:v>Public Workday keyword searches: 1 current hit per tool, all one requisition JR0097209. Full JD retrieved. Prose on Pixels mapping via official Havas prospectus. Havas Health role excluded.</x:v>
      </x:c>
      <x:c r="G195" s="9" t="str">
        <x:v>Search-index and public availability limited; deleted/unindexed/private jobs may be absent. No earliest cutoff. Unknown dates explicitly flagged. Nonhit does not mean zero adoption or usage.</x:v>
      </x:c>
      <x:c r="H195" s="9" t="str"/>
      <x:c r="I195" s="2" t="str">
        <x:v>2026-10-06</x:v>
      </x:c>
    </x:row>
    <x:row r="196" ht="145" customHeight="1">
      <x:c r="A196" s="2" t="str">
        <x:v>A15</x:v>
      </x:c>
      <x:c r="B196" s="9" t="str">
        <x:v>Havas Creative</x:v>
      </x:c>
      <x:c r="C196" s="9" t="str">
        <x:v>Adobe Firefly</x:v>
      </x:c>
      <x:c r="D196" s="9" t="str">
        <x:v>1 вакансий в основном корпусе</x:v>
      </x:c>
      <x:c r="E196" s="9" t="str">
        <x:v>"Havas Creative" "Adobe Firefly" job | site:myworkdayjobs.com "Havas" "Firefly"</x:v>
      </x:c>
      <x:c r="F196" s="9" t="str">
        <x:v>Public Workday keyword searches: 1 current hit per tool, all one requisition JR0097209. Full JD retrieved. Prose on Pixels mapping via official Havas prospectus. Havas Health role excluded.</x:v>
      </x:c>
      <x:c r="G196" s="9" t="str">
        <x:v>Search-index and public availability limited; deleted/unindexed/private jobs may be absent. No earliest cutoff. Unknown dates explicitly flagged. Nonhit does not mean zero adoption or usage.</x:v>
      </x:c>
      <x:c r="H196" s="9" t="str"/>
      <x:c r="I196" s="2" t="str">
        <x:v>2026-10-06</x:v>
      </x:c>
    </x:row>
    <x:row r="197" ht="145" customHeight="1">
      <x:c r="A197" s="2" t="str">
        <x:v>A16</x:v>
      </x:c>
      <x:c r="B197" s="9" t="str">
        <x:v>Monks</x:v>
      </x:c>
      <x:c r="C197" s="9" t="str">
        <x:v>Higgsfield</x:v>
      </x:c>
      <x:c r="D197" s="9" t="str">
        <x:v>1 вакансий в основном корпусе</x:v>
      </x:c>
      <x:c r="E197" s="9" t="str">
        <x:v>("Monks" OR "Media.Monks") "Higgsfield" job | site:monks.com/careers "Higgsfield"</x:v>
      </x:c>
      <x:c r="F197" s="9" t="str">
        <x:v>Full public Greenhouse board content scanned (381 postings). Company-award boilerplate excluded. Shared internal IDs collapse location variants; near-identical temp/freelance repost collapsed. Historical official page and Built In mirror inspected. Talent pool excluded from vacancy total.</x:v>
      </x:c>
      <x:c r="G197" s="9" t="str">
        <x:v>Search-index and public availability limited; deleted/unindexed/private jobs may be absent. No earliest cutoff. Unknown dates explicitly flagged. Nonhit does not mean zero adoption or usage.</x:v>
      </x:c>
      <x:c r="H197" s="9" t="str"/>
      <x:c r="I197" s="2" t="str">
        <x:v>2026-10-06</x:v>
      </x:c>
    </x:row>
    <x:row r="198" ht="145" customHeight="1">
      <x:c r="A198" s="2" t="str">
        <x:v>A16</x:v>
      </x:c>
      <x:c r="B198" s="9" t="str">
        <x:v>Monks</x:v>
      </x:c>
      <x:c r="C198" s="9" t="str">
        <x:v>Runway</x:v>
      </x:c>
      <x:c r="D198" s="9" t="str">
        <x:v>10 вакансий в основном корпусе; 2 вне основного корпуса</x:v>
      </x:c>
      <x:c r="E198" s="9" t="str">
        <x:v>"Monks" "Runway" jobs greenhouse | site:monks.com/careers "Runway" -award</x:v>
      </x:c>
      <x:c r="F198" s="9" t="str">
        <x:v>Full public Greenhouse board content scanned (381 postings). Company-award boilerplate excluded. Shared internal IDs collapse location variants; near-identical temp/freelance repost collapsed. Historical official page and Built In mirror inspected. Talent pool excluded from vacancy total.</x:v>
      </x:c>
      <x:c r="G198" s="9" t="str">
        <x:v>Search-index and public availability limited; deleted/unindexed/private jobs may be absent. No earliest cutoff. Unknown dates explicitly flagged. Nonhit does not mean zero adoption or usage.</x:v>
      </x:c>
      <x:c r="H198" s="9" t="str"/>
      <x:c r="I198" s="2" t="str">
        <x:v>2026-10-06</x:v>
      </x:c>
    </x:row>
    <x:row r="199" ht="145" customHeight="1">
      <x:c r="A199" s="2" t="str">
        <x:v>A16</x:v>
      </x:c>
      <x:c r="B199" s="9" t="str">
        <x:v>Monks</x:v>
      </x:c>
      <x:c r="C199" s="9" t="str">
        <x:v>Adobe Firefly</x:v>
      </x:c>
      <x:c r="D199" s="9" t="str">
        <x:v>6 вакансий в основном корпусе; 2 вне основного корпуса</x:v>
      </x:c>
      <x:c r="E199" s="9" t="str">
        <x:v>"Monks" "Adobe Firefly" job | site:monks.com/careers "Firefly" "skills"</x:v>
      </x:c>
      <x:c r="F199" s="9" t="str">
        <x:v>Full public Greenhouse board content scanned (381 postings). Company-award boilerplate excluded. Shared internal IDs collapse location variants; near-identical temp/freelance repost collapsed. Historical official page and Built In mirror inspected. Talent pool excluded from vacancy total.</x:v>
      </x:c>
      <x:c r="G199" s="9" t="str">
        <x:v>Search-index and public availability limited; deleted/unindexed/private jobs may be absent. No earliest cutoff. Unknown dates explicitly flagged. Nonhit does not mean zero adoption or usage.</x:v>
      </x:c>
      <x:c r="H199" s="9" t="str"/>
      <x:c r="I199" s="2" t="str">
        <x:v>2026-10-06</x:v>
      </x:c>
    </x:row>
    <x:row r="200" ht="145" customHeight="1">
      <x:c r="A200" s="2" t="str">
        <x:v>A17</x:v>
      </x:c>
      <x:c r="B200" s="9" t="str">
        <x:v>OLIVER / OLIVER+ / Brandtech Plus</x:v>
      </x:c>
      <x:c r="C200" s="9" t="str">
        <x:v>Higgsfield</x:v>
      </x:c>
      <x:c r="D200" s="9" t="str">
        <x:v>1 вакансий в основном корпусе</x:v>
      </x:c>
      <x:c r="E200" s="9" t="str">
        <x:v>("OLIVER" OR "OLIVER+" OR "Brandtech Plus") "Higgsfield" job | site:job-boards.greenhouse.io ("oliver" OR "brandtech") "Higgsfield"</x:v>
      </x:c>
      <x:c r="F200" s="9" t="str">
        <x:v>Full public Greenhouse boards: oliver 62; oliverusa 15; brandtechplus 26; olivermexico 12; oliverseapac 45; oliverargentina 7; oliverbrazil 2. Shared internal IDs collapse location/rebrand variants. Closed CGI and motion role mirrors inspected. Old oliverplus board 404.</x:v>
      </x:c>
      <x:c r="G200" s="9" t="str">
        <x:v>Search-index and public availability limited; deleted/unindexed/private jobs may be absent. No earliest cutoff. Unknown dates explicitly flagged. Nonhit does not mean zero adoption or usage.</x:v>
      </x:c>
      <x:c r="H200" s="9" t="str"/>
      <x:c r="I200" s="2" t="str">
        <x:v>2026-10-06</x:v>
      </x:c>
    </x:row>
    <x:row r="201" ht="145" customHeight="1">
      <x:c r="A201" s="2" t="str">
        <x:v>A17</x:v>
      </x:c>
      <x:c r="B201" s="9" t="str">
        <x:v>OLIVER / OLIVER+ / Brandtech Plus</x:v>
      </x:c>
      <x:c r="C201" s="9" t="str">
        <x:v>Runway</x:v>
      </x:c>
      <x:c r="D201" s="9" t="str">
        <x:v>3 вакансий в основном корпусе</x:v>
      </x:c>
      <x:c r="E201" s="9" t="str">
        <x:v>("OLIVER" OR "OLIVER+" OR "Brandtech Plus") "Runway" job | site:job-boards.greenhouse.io ("oliver" OR "brandtech") "Runway"</x:v>
      </x:c>
      <x:c r="F201" s="9" t="str">
        <x:v>Full public Greenhouse boards: oliver 62; oliverusa 15; brandtechplus 26; olivermexico 12; oliverseapac 45; oliverargentina 7; oliverbrazil 2. Shared internal IDs collapse location/rebrand variants. Closed CGI and motion role mirrors inspected. Old oliverplus board 404.</x:v>
      </x:c>
      <x:c r="G201" s="9" t="str">
        <x:v>Search-index and public availability limited; deleted/unindexed/private jobs may be absent. No earliest cutoff. Unknown dates explicitly flagged. Nonhit does not mean zero adoption or usage.</x:v>
      </x:c>
      <x:c r="H201" s="9" t="str"/>
      <x:c r="I201" s="2" t="str">
        <x:v>2026-10-06</x:v>
      </x:c>
    </x:row>
    <x:row r="202" ht="145" customHeight="1">
      <x:c r="A202" s="2" t="str">
        <x:v>A17</x:v>
      </x:c>
      <x:c r="B202" s="9" t="str">
        <x:v>OLIVER / OLIVER+ / Brandtech Plus</x:v>
      </x:c>
      <x:c r="C202" s="9" t="str">
        <x:v>Adobe Firefly</x:v>
      </x:c>
      <x:c r="D202" s="9" t="str">
        <x:v>14 вакансий в основном корпусе</x:v>
      </x:c>
      <x:c r="E202" s="9" t="str">
        <x:v>("OLIVER" OR "OLIVER+" OR "Brandtech Plus") "Adobe Firefly" job | site:job-boards.greenhouse.io ("oliver" OR "brandtech") "Firefly"</x:v>
      </x:c>
      <x:c r="F202" s="9" t="str">
        <x:v>Full public Greenhouse boards: oliver 62; oliverusa 15; brandtechplus 26; olivermexico 12; oliverseapac 45; oliverargentina 7; oliverbrazil 2. Shared internal IDs collapse location/rebrand variants. Closed CGI and motion role mirrors inspected. Old oliverplus board 404.</x:v>
      </x:c>
      <x:c r="G202" s="9" t="str">
        <x:v>Search-index and public availability limited; deleted/unindexed/private jobs may be absent. No earliest cutoff. Unknown dates explicitly flagged. Nonhit does not mean zero adoption or usage.</x:v>
      </x:c>
      <x:c r="H202" s="9" t="str"/>
      <x:c r="I202" s="2" t="str">
        <x:v>2026-10-06</x:v>
      </x:c>
    </x:row>
    <x:row r="203" ht="145" customHeight="1">
      <x:c r="A203" s="2" t="str">
        <x:v>A18</x:v>
      </x:c>
      <x:c r="B203" s="9" t="str">
        <x:v>R/GA</x:v>
      </x:c>
      <x:c r="C203" s="9" t="str">
        <x:v>Higgsfield</x:v>
      </x:c>
      <x:c r="D203" s="9" t="str">
        <x:v>Проверенных упоминаний в основном корпусе не найдено</x:v>
      </x:c>
      <x:c r="E203" s="9" t="str">
        <x:v>"R/GA" "Higgsfield" job | site:linkedin.com/jobs/view "R/GA" "Higgsfield"</x:v>
      </x:c>
      <x:c r="F203" s="9" t="str">
        <x:v>Full public Greenhouse current board (11 postings) plus historical official pages, employer LinkedIn and full Built In/Growthroles mirrors. Ambiguous Himalayas reinsurance-mapped role excluded. Addition creative studio role explicitly preserved under R/GA.</x:v>
      </x:c>
      <x:c r="G203" s="9" t="str">
        <x:v>Search-index and public availability limited; deleted/unindexed/private jobs may be absent. No earliest cutoff. Unknown dates explicitly flagged. Nonhit does not mean zero adoption or usage.</x:v>
      </x:c>
      <x:c r="H203" s="9" t="str"/>
      <x:c r="I203" s="2" t="str">
        <x:v>2026-10-06</x:v>
      </x:c>
    </x:row>
    <x:row r="204" ht="145" customHeight="1">
      <x:c r="A204" s="2" t="str">
        <x:v>A18</x:v>
      </x:c>
      <x:c r="B204" s="9" t="str">
        <x:v>R/GA</x:v>
      </x:c>
      <x:c r="C204" s="9" t="str">
        <x:v>Runway</x:v>
      </x:c>
      <x:c r="D204" s="9" t="str">
        <x:v>7 вакансий в основном корпусе; 2 вне основного корпуса</x:v>
      </x:c>
      <x:c r="E204" s="9" t="str">
        <x:v>"R/GA" "Runway" job | site:job-boards.greenhouse.io "R/GA" "Runway"</x:v>
      </x:c>
      <x:c r="F204" s="9" t="str">
        <x:v>Full public Greenhouse current board (11 postings) plus historical official pages, employer LinkedIn and full Built In/Growthroles mirrors. Ambiguous Himalayas reinsurance-mapped role excluded. Addition creative studio role explicitly preserved under R/GA.</x:v>
      </x:c>
      <x:c r="G204" s="9" t="str">
        <x:v>Search-index and public availability limited; deleted/unindexed/private jobs may be absent. No earliest cutoff. Unknown dates explicitly flagged. Nonhit does not mean zero adoption or usage.</x:v>
      </x:c>
      <x:c r="H204" s="9" t="str"/>
      <x:c r="I204" s="2" t="str">
        <x:v>2026-10-06</x:v>
      </x:c>
    </x:row>
    <x:row r="205" ht="145" customHeight="1">
      <x:c r="A205" s="2" t="str">
        <x:v>A18</x:v>
      </x:c>
      <x:c r="B205" s="9" t="str">
        <x:v>R/GA</x:v>
      </x:c>
      <x:c r="C205" s="9" t="str">
        <x:v>Adobe Firefly</x:v>
      </x:c>
      <x:c r="D205" s="9" t="str">
        <x:v>1 вакансий в основном корпусе</x:v>
      </x:c>
      <x:c r="E205" s="9" t="str">
        <x:v>"R/GA" "Adobe Firefly" job | site:job-boards.greenhouse.io "R/GA" "Firefly"</x:v>
      </x:c>
      <x:c r="F205" s="9" t="str">
        <x:v>Full public Greenhouse current board (11 postings) plus historical official pages, employer LinkedIn and full Built In/Growthroles mirrors. Ambiguous Himalayas reinsurance-mapped role excluded. Addition creative studio role explicitly preserved under R/GA.</x:v>
      </x:c>
      <x:c r="G205" s="9" t="str">
        <x:v>Search-index and public availability limited; deleted/unindexed/private jobs may be absent. No earliest cutoff. Unknown dates explicitly flagged. Nonhit does not mean zero adoption or usage.</x:v>
      </x:c>
      <x:c r="H205" s="9" t="str"/>
      <x:c r="I205" s="2" t="str">
        <x:v>2026-10-06</x:v>
      </x:c>
    </x:row>
    <x:row r="206" ht="145" customHeight="1">
      <x:c r="A206" s="2" t="str">
        <x:v>A19</x:v>
      </x:c>
      <x:c r="B206" s="9" t="str">
        <x:v>Artefact 3000</x:v>
      </x:c>
      <x:c r="C206" s="9" t="str">
        <x:v>Higgsfield</x:v>
      </x:c>
      <x:c r="D206" s="9" t="str">
        <x:v>1 вакансий в основном корпусе</x:v>
      </x:c>
      <x:c r="E206" s="9" t="str">
        <x:v>"Artefact 3000" "Higgsfield" job | site:job-boards.greenhouse.io "Artefact 3000" "Higgsfield"</x:v>
      </x:c>
      <x:c r="F206" s="9" t="str">
        <x:v>Public Greenhouse boards artefact 135, artefactjobs 39, artefactlinkedin 117 scanned; 3 posting IDs for same internal requisition collapsed. Full historical employer Welcome to the Jungle JD inspected in French.</x:v>
      </x:c>
      <x:c r="G206" s="9" t="str">
        <x:v>Search-index and public availability limited; deleted/unindexed/private jobs may be absent. No earliest cutoff. Unknown dates explicitly flagged. Nonhit does not mean zero adoption or usage.</x:v>
      </x:c>
      <x:c r="H206" s="9" t="str"/>
      <x:c r="I206" s="2" t="str">
        <x:v>2026-10-06</x:v>
      </x:c>
    </x:row>
    <x:row r="207" ht="145" customHeight="1">
      <x:c r="A207" s="2" t="str">
        <x:v>A19</x:v>
      </x:c>
      <x:c r="B207" s="9" t="str">
        <x:v>Artefact 3000</x:v>
      </x:c>
      <x:c r="C207" s="9" t="str">
        <x:v>Runway</x:v>
      </x:c>
      <x:c r="D207" s="9" t="str">
        <x:v>2 вакансий в основном корпусе</x:v>
      </x:c>
      <x:c r="E207" s="9" t="str">
        <x:v>"Artefact 3000" "Runway" job | site:linkedin.com/jobs/view "Artefact 3000" "Runway"</x:v>
      </x:c>
      <x:c r="F207" s="9" t="str">
        <x:v>Public Greenhouse boards artefact 135, artefactjobs 39, artefactlinkedin 117 scanned; 3 posting IDs for same internal requisition collapsed. Full historical employer Welcome to the Jungle JD inspected in French.</x:v>
      </x:c>
      <x:c r="G207" s="9" t="str">
        <x:v>Search-index and public availability limited; deleted/unindexed/private jobs may be absent. No earliest cutoff. Unknown dates explicitly flagged. Nonhit does not mean zero adoption or usage.</x:v>
      </x:c>
      <x:c r="H207" s="9" t="str"/>
      <x:c r="I207" s="2" t="str">
        <x:v>2026-10-06</x:v>
      </x:c>
    </x:row>
    <x:row r="208" ht="145" customHeight="1">
      <x:c r="A208" s="2" t="str">
        <x:v>A19</x:v>
      </x:c>
      <x:c r="B208" s="9" t="str">
        <x:v>Artefact 3000</x:v>
      </x:c>
      <x:c r="C208" s="9" t="str">
        <x:v>Adobe Firefly</x:v>
      </x:c>
      <x:c r="D208" s="9" t="str">
        <x:v>1 вакансий в основном корпусе</x:v>
      </x:c>
      <x:c r="E208" s="9" t="str">
        <x:v>"Artefact 3000" "Adobe Firefly" job | site:welcometothejungle.com "Artefact 3000" "Firefly"</x:v>
      </x:c>
      <x:c r="F208" s="9" t="str">
        <x:v>Public Greenhouse boards artefact 135, artefactjobs 39, artefactlinkedin 117 scanned; 3 posting IDs for same internal requisition collapsed. Full historical employer Welcome to the Jungle JD inspected in French.</x:v>
      </x:c>
      <x:c r="G208" s="9" t="str">
        <x:v>Search-index and public availability limited; deleted/unindexed/private jobs may be absent. No earliest cutoff. Unknown dates explicitly flagged. Nonhit does not mean zero adoption or usage.</x:v>
      </x:c>
      <x:c r="H208" s="9" t="str"/>
      <x:c r="I208" s="2" t="str">
        <x:v>2026-10-06</x:v>
      </x:c>
    </x:row>
    <x:row r="209" ht="145" customHeight="1">
      <x:c r="A209" s="2" t="str">
        <x:v>A20</x:v>
      </x:c>
      <x:c r="B209" s="9" t="str">
        <x:v>VaynerMedia</x:v>
      </x:c>
      <x:c r="C209" s="9" t="str">
        <x:v>Higgsfield</x:v>
      </x:c>
      <x:c r="D209" s="9" t="str">
        <x:v>Проверенных упоминаний в основном корпусе не найдено</x:v>
      </x:c>
      <x:c r="E209" s="9" t="str">
        <x:v>"VaynerMedia" "Higgsfield" job | site:job-boards.greenhouse.io/vaynermedia "Higgsfield"</x:v>
      </x:c>
      <x:c r="F209" s="9" t="str">
        <x:v>Full public Greenhouse current board (99 postings) scanned plus two indexed-search passes; no qualifying tool-requirement evidence. Fashion runway, other employers and aggregate job-list matches excluded.</x:v>
      </x:c>
      <x:c r="G209" s="9" t="str">
        <x:v>Search-index and public availability limited; deleted/unindexed/private jobs may be absent. No earliest cutoff. Unknown dates explicitly flagged. Nonhit does not mean zero adoption or usage.</x:v>
      </x:c>
      <x:c r="H209" s="9" t="str"/>
      <x:c r="I209" s="2" t="str">
        <x:v>2026-10-06</x:v>
      </x:c>
    </x:row>
    <x:row r="210" ht="145" customHeight="1">
      <x:c r="A210" s="2" t="str">
        <x:v>A20</x:v>
      </x:c>
      <x:c r="B210" s="9" t="str">
        <x:v>VaynerMedia</x:v>
      </x:c>
      <x:c r="C210" s="9" t="str">
        <x:v>Runway</x:v>
      </x:c>
      <x:c r="D210" s="9" t="str">
        <x:v>Проверенных упоминаний в основном корпусе не найдено</x:v>
      </x:c>
      <x:c r="E210" s="9" t="str">
        <x:v>"VaynerMedia" "Runway" job | site:job-boards.greenhouse.io/vaynermedia "Runway"</x:v>
      </x:c>
      <x:c r="F210" s="9" t="str">
        <x:v>Full public Greenhouse current board (99 postings) scanned plus two indexed-search passes; no qualifying tool-requirement evidence. Fashion runway, other employers and aggregate job-list matches excluded.</x:v>
      </x:c>
      <x:c r="G210" s="9" t="str">
        <x:v>Search-index and public availability limited; deleted/unindexed/private jobs may be absent. No earliest cutoff. Unknown dates explicitly flagged. Nonhit does not mean zero adoption or usage.</x:v>
      </x:c>
      <x:c r="H210" s="9" t="str"/>
      <x:c r="I210" s="2" t="str">
        <x:v>2026-10-06</x:v>
      </x:c>
    </x:row>
    <x:row r="211" ht="145" customHeight="1">
      <x:c r="A211" s="2" t="str">
        <x:v>A20</x:v>
      </x:c>
      <x:c r="B211" s="9" t="str">
        <x:v>VaynerMedia</x:v>
      </x:c>
      <x:c r="C211" s="9" t="str">
        <x:v>Adobe Firefly</x:v>
      </x:c>
      <x:c r="D211" s="9" t="str">
        <x:v>Проверенных упоминаний в основном корпусе не найдено</x:v>
      </x:c>
      <x:c r="E211" s="9" t="str">
        <x:v>"VaynerMedia" "Adobe Firefly" job | site:linkedin.com/jobs/view "VaynerMedia" "Firefly"</x:v>
      </x:c>
      <x:c r="F211" s="9" t="str">
        <x:v>Full public Greenhouse current board (99 postings) scanned plus two indexed-search passes; no qualifying tool-requirement evidence. Fashion runway, other employers and aggregate job-list matches excluded.</x:v>
      </x:c>
      <x:c r="G211" s="9" t="str">
        <x:v>Search-index and public availability limited; deleted/unindexed/private jobs may be absent. No earliest cutoff. Unknown dates explicitly flagged. Nonhit does not mean zero adoption or usage.</x:v>
      </x:c>
      <x:c r="H211" s="9" t="str"/>
      <x:c r="I211" s="2" t="str">
        <x:v>2026-10-06</x:v>
      </x:c>
    </x:row>
  </x:sheetData>
  <x:pageMargins left="0.7" right="0.7" top="0.75" bottom="0.75" header="0.3" footer="0.3"/>
  <x:tableParts count="1">
    <x:tablePart xmlns:r="http://schemas.openxmlformats.org/officeDocument/2006/relationships" r:id="R9e3d18151a004f10"/>
  </x:tableParts>
</x:worksheet>
</file>